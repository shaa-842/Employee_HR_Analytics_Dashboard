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hidePivotFieldList="1" defaultThemeVersion="166925"/>
  <xr:revisionPtr revIDLastSave="0" documentId="8_{8F5C8152-04F7-4125-A1FC-7250DFF75F76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Employee_data" sheetId="1" r:id="rId1"/>
    <sheet name="Data_as_Table" sheetId="5" r:id="rId2"/>
    <sheet name="Pivots" sheetId="4" r:id="rId3"/>
    <sheet name="HR_Analytics_Dashboard" sheetId="2" r:id="rId4"/>
  </sheets>
  <definedNames>
    <definedName name="HR">Employee_data!$A$2:$J$500</definedName>
  </definedNames>
  <calcPr calcId="191028"/>
  <pivotCaches>
    <pivotCache cacheId="4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00" i="5" l="1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Q3" i="2"/>
  <c r="N3" i="2"/>
  <c r="H3" i="2"/>
  <c r="K3" i="2"/>
  <c r="E3" i="2"/>
  <c r="B3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</calcChain>
</file>

<file path=xl/sharedStrings.xml><?xml version="1.0" encoding="utf-8"?>
<sst xmlns="http://schemas.openxmlformats.org/spreadsheetml/2006/main" count="5049" uniqueCount="39">
  <si>
    <t>EmployeeNumber</t>
  </si>
  <si>
    <t>Age</t>
  </si>
  <si>
    <t>Gender</t>
  </si>
  <si>
    <t>Department</t>
  </si>
  <si>
    <t>JobRole</t>
  </si>
  <si>
    <t>MonthlyIncome</t>
  </si>
  <si>
    <t>JobSatisfaction</t>
  </si>
  <si>
    <t>OverTime</t>
  </si>
  <si>
    <t>YearsAtCompany</t>
  </si>
  <si>
    <t>Attrition</t>
  </si>
  <si>
    <t>AttritionFlag</t>
  </si>
  <si>
    <t>Female</t>
  </si>
  <si>
    <t>Sales</t>
  </si>
  <si>
    <t>Sales Executive</t>
  </si>
  <si>
    <t>Yes</t>
  </si>
  <si>
    <t>Male</t>
  </si>
  <si>
    <t>Research &amp; Development</t>
  </si>
  <si>
    <t>Research Scientist</t>
  </si>
  <si>
    <t>No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</si>
  <si>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</si>
  <si>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</si>
  <si>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</si>
  <si>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</si>
  <si>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</si>
  <si>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</si>
  <si>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</si>
  <si>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Average of AttritionFlag</t>
  </si>
  <si>
    <t>Sum of EmployeeNumber</t>
  </si>
  <si>
    <t>Grand Total</t>
  </si>
  <si>
    <t>Average of MonthlyIncome</t>
  </si>
  <si>
    <t>Total Employees</t>
  </si>
  <si>
    <t>Attrition Rate</t>
  </si>
  <si>
    <t>Average Salary</t>
  </si>
  <si>
    <t>Highest Salary</t>
  </si>
  <si>
    <t>Lowest Salary</t>
  </si>
  <si>
    <t>Average Satisfaction</t>
  </si>
  <si>
    <t>1. Which department has the highest attrition?</t>
  </si>
  <si>
    <t>2. Does Overtime increase attrition?</t>
  </si>
  <si>
    <t>3. What is the gender split of employees?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</si>
</sst>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3">
    <font>
      <sz val="11"/>
      <color theme="1"/>
      <name val="Calibri"/>
      <family val="2"/>
      <scheme val="minor"/>
    </font>
    <font>
      <b/>
      <sz val="11"/>
      <color rgb="FF000000"/>
      <name val="Bookman Old Style"/>
    </font>
    <font>
      <b/>
      <sz val="11"/>
      <color theme="1"/>
      <name val="Bookman Old Style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  <xf numFmtId="10" fontId="0" fillId="0" borderId="0" xfId="0" pivotButton="1" applyNumberFormat="1"/>
    <xf numFmtId="10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0" fontId="0" fillId="3" borderId="3" xfId="0" applyNumberFormat="1" applyFill="1" applyBorder="1" applyAlignment="1">
      <alignment horizontal="center"/>
    </xf>
    <xf numFmtId="10" fontId="0" fillId="3" borderId="4" xfId="0" applyNumberFormat="1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165" fontId="0" fillId="7" borderId="3" xfId="0" applyNumberFormat="1" applyFill="1" applyBorder="1" applyAlignment="1">
      <alignment horizontal="center"/>
    </xf>
    <xf numFmtId="165" fontId="0" fillId="7" borderId="4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</cellXfs>
  <cellStyles count="1">
    <cellStyle name="Normal" xfId="0" builtinId="0"/>
  </cellStyles>
  <dxfs count="3"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48235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Department and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48235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Pivots!$A$2:$A$5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Pivots!$B$2:$B$5</c:f>
              <c:numCache>
                <c:formatCode>0.00%</c:formatCode>
                <c:ptCount val="3"/>
                <c:pt idx="0">
                  <c:v>0.2857142857142857</c:v>
                </c:pt>
                <c:pt idx="1">
                  <c:v>0.13513513513513514</c:v>
                </c:pt>
                <c:pt idx="2">
                  <c:v>0.19078947368421054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F-484B-A267-99B6E75D4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949448"/>
        <c:axId val="957951496"/>
      </c:barChart>
      <c:catAx>
        <c:axId val="95794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51496"/>
        <c:crosses val="autoZero"/>
        <c:auto val="1"/>
        <c:lblAlgn val="ctr"/>
        <c:lblOffset val="100"/>
        <c:noMultiLvlLbl val="0"/>
      </c:catAx>
      <c:valAx>
        <c:axId val="95795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49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Pivots!$B$8:$B$10</c:f>
              <c:numCache>
                <c:formatCode>0.00%</c:formatCode>
                <c:ptCount val="2"/>
                <c:pt idx="0">
                  <c:v>9.8870056497175146E-2</c:v>
                </c:pt>
                <c:pt idx="1">
                  <c:v>0.29655172413793102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A-4048-86ED-8B28C8CE0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837896"/>
        <c:axId val="1604839944"/>
      </c:lineChart>
      <c:catAx>
        <c:axId val="1604837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839944"/>
        <c:crosses val="autoZero"/>
        <c:auto val="1"/>
        <c:lblAlgn val="ctr"/>
        <c:lblOffset val="100"/>
        <c:noMultiLvlLbl val="0"/>
      </c:catAx>
      <c:valAx>
        <c:axId val="160483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83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65911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Overtime and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65911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 cmpd="sng" algn="ctr">
            <a:solidFill>
              <a:srgbClr val="F4B084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diamond"/>
          <c:size val="5"/>
          <c:spPr>
            <a:solidFill>
              <a:srgbClr val="F8CBAD"/>
            </a:solidFill>
            <a:ln w="9525" cap="flat" cmpd="sng" algn="ctr">
              <a:solidFill>
                <a:srgbClr val="F4B08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solidFill>
              <a:srgbClr val="FCE4D6"/>
            </a:solidFill>
            <a:ln w="12700" cap="flat" cmpd="sng" algn="ctr">
              <a:solidFill>
                <a:srgbClr val="F4B08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F4B08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5"/>
            <c:spPr>
              <a:solidFill>
                <a:srgbClr val="F8CBAD"/>
              </a:solidFill>
              <a:ln w="9525" cap="flat" cmpd="sng" algn="ctr">
                <a:solidFill>
                  <a:srgbClr val="F4B08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dLbls>
            <c:spPr>
              <a:solidFill>
                <a:srgbClr val="FCE4D6"/>
              </a:solidFill>
              <a:ln w="12700" cap="flat" cmpd="sng" algn="ctr">
                <a:solidFill>
                  <a:srgbClr val="F4B08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Pivots!$B$8:$B$10</c:f>
              <c:numCache>
                <c:formatCode>0.00%</c:formatCode>
                <c:ptCount val="2"/>
                <c:pt idx="0">
                  <c:v>9.8870056497175146E-2</c:v>
                </c:pt>
                <c:pt idx="1">
                  <c:v>0.29655172413793102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0-4AF7-9121-330C0B945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024072"/>
        <c:axId val="969279496"/>
      </c:lineChart>
      <c:catAx>
        <c:axId val="96802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279496"/>
        <c:crosses val="autoZero"/>
        <c:auto val="1"/>
        <c:lblAlgn val="ctr"/>
        <c:lblOffset val="100"/>
        <c:noMultiLvlLbl val="0"/>
      </c:catAx>
      <c:valAx>
        <c:axId val="96927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02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[Data.xlsx]Pivots!PivotTable4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BF8F00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Gender Split of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BF8F00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06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B7-4239-9485-0A70E00A7E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B7-4239-9485-0A70E00A7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06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Pivots!$D$2:$D$4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Pivots!$E$2:$E$4</c:f>
              <c:numCache>
                <c:formatCode>General</c:formatCode>
                <c:ptCount val="2"/>
                <c:pt idx="0">
                  <c:v>68004</c:v>
                </c:pt>
                <c:pt idx="1">
                  <c:v>99771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B7-4239-9485-0A70E00A7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9525</xdr:rowOff>
    </xdr:from>
    <xdr:to>
      <xdr:col>4</xdr:col>
      <xdr:colOff>590550</xdr:colOff>
      <xdr:row>16</xdr:row>
      <xdr:rowOff>171450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10D89C0-2891-0CC1-5742-1CC0F1001724}"/>
            </a:ext>
            <a:ext uri="{147F2762-F138-4A5C-976F-8EAC2B608ADB}">
              <a16:predDERef xmlns:a16="http://schemas.microsoft.com/office/drawing/2014/main" pred="{8DB78E9D-C072-BC0F-F888-D1046EE56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209550</xdr:colOff>
      <xdr:row>0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A15F7BA-70F0-0D08-0FD9-DA52851C5BF6}"/>
            </a:ext>
            <a:ext uri="{147F2762-F138-4A5C-976F-8EAC2B608ADB}">
              <a16:predDERef xmlns:a16="http://schemas.microsoft.com/office/drawing/2014/main" pred="{110D89C0-2891-0CC1-5742-1CC0F1001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590550</xdr:colOff>
      <xdr:row>6</xdr:row>
      <xdr:rowOff>9525</xdr:rowOff>
    </xdr:from>
    <xdr:to>
      <xdr:col>10</xdr:col>
      <xdr:colOff>600075</xdr:colOff>
      <xdr:row>16</xdr:row>
      <xdr:rowOff>161925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C70722C5-CC61-9DAC-E6BA-18CC1776C95B}"/>
            </a:ext>
            <a:ext uri="{147F2762-F138-4A5C-976F-8EAC2B608ADB}">
              <a16:predDERef xmlns:a16="http://schemas.microsoft.com/office/drawing/2014/main" pred="{0A15F7BA-70F0-0D08-0FD9-DA52851C5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581025</xdr:colOff>
      <xdr:row>5</xdr:row>
      <xdr:rowOff>180975</xdr:rowOff>
    </xdr:from>
    <xdr:to>
      <xdr:col>17</xdr:col>
      <xdr:colOff>0</xdr:colOff>
      <xdr:row>17</xdr:row>
      <xdr:rowOff>28575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D43FF30B-A4BE-1339-D803-4EFEA38C8B06}"/>
            </a:ext>
            <a:ext uri="{147F2762-F138-4A5C-976F-8EAC2B608ADB}">
              <a16:predDERef xmlns:a16="http://schemas.microsoft.com/office/drawing/2014/main" pred="{C70722C5-CC61-9DAC-E6BA-18CC1776C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762770949077" createdVersion="8" refreshedVersion="8" minRefreshableVersion="3" recordCount="499" xr:uid="{4776C198-046C-41C2-97AE-FE6297A0AF76}">
  <cacheSource type="worksheet">
    <worksheetSource name="Employee"/>
  </cacheSource>
  <cacheFields count="11">
    <cacheField name="EmployeeNumber" numFmtId="0">
      <sharedItems containsSemiMixedTypes="0" containsString="0" containsNumber="1" containsInteger="1" minValue="1" maxValue="675"/>
    </cacheField>
    <cacheField name="Age" numFmtId="0">
      <sharedItems containsSemiMixedTypes="0" containsString="0" containsNumber="1" containsInteger="1" minValue="18" maxValue="60"/>
    </cacheField>
    <cacheField name="Gender" numFmtId="0">
      <sharedItems count="2">
        <s v="Female"/>
        <s v="Male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onthlyIncome" numFmtId="0">
      <sharedItems containsSemiMixedTypes="0" containsString="0" containsNumber="1" containsInteger="1" minValue="1102" maxValue="19999"/>
    </cacheField>
    <cacheField name="JobSatisfaction" numFmtId="0">
      <sharedItems containsSemiMixedTypes="0" containsString="0" containsNumber="1" containsInteger="1" minValue="1" maxValue="4"/>
    </cacheField>
    <cacheField name="OverTime" numFmtId="0">
      <sharedItems count="2">
        <s v="Yes"/>
        <s v="No"/>
      </sharedItems>
    </cacheField>
    <cacheField name="YearsAtCompany" numFmtId="0">
      <sharedItems containsSemiMixedTypes="0" containsString="0" containsNumber="1" containsInteger="1" minValue="0" maxValue="40"/>
    </cacheField>
    <cacheField name="Attrition" numFmtId="0">
      <sharedItems/>
    </cacheField>
    <cacheField name="Attritio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n v="41"/>
    <x v="0"/>
    <x v="0"/>
    <x v="0"/>
    <n v="5993"/>
    <n v="4"/>
    <x v="0"/>
    <n v="6"/>
    <s v="Yes"/>
    <n v="1"/>
  </r>
  <r>
    <n v="2"/>
    <n v="49"/>
    <x v="1"/>
    <x v="1"/>
    <x v="1"/>
    <n v="5130"/>
    <n v="2"/>
    <x v="1"/>
    <n v="10"/>
    <s v="No"/>
    <n v="0"/>
  </r>
  <r>
    <n v="4"/>
    <n v="37"/>
    <x v="1"/>
    <x v="1"/>
    <x v="2"/>
    <n v="2090"/>
    <n v="3"/>
    <x v="0"/>
    <n v="0"/>
    <s v="Yes"/>
    <n v="1"/>
  </r>
  <r>
    <n v="5"/>
    <n v="33"/>
    <x v="0"/>
    <x v="1"/>
    <x v="1"/>
    <n v="2909"/>
    <n v="3"/>
    <x v="0"/>
    <n v="8"/>
    <s v="No"/>
    <n v="0"/>
  </r>
  <r>
    <n v="7"/>
    <n v="27"/>
    <x v="1"/>
    <x v="1"/>
    <x v="2"/>
    <n v="3468"/>
    <n v="2"/>
    <x v="1"/>
    <n v="2"/>
    <s v="No"/>
    <n v="0"/>
  </r>
  <r>
    <n v="8"/>
    <n v="32"/>
    <x v="1"/>
    <x v="1"/>
    <x v="2"/>
    <n v="3068"/>
    <n v="4"/>
    <x v="1"/>
    <n v="7"/>
    <s v="No"/>
    <n v="0"/>
  </r>
  <r>
    <n v="10"/>
    <n v="59"/>
    <x v="0"/>
    <x v="1"/>
    <x v="2"/>
    <n v="2670"/>
    <n v="1"/>
    <x v="0"/>
    <n v="1"/>
    <s v="No"/>
    <n v="0"/>
  </r>
  <r>
    <n v="11"/>
    <n v="30"/>
    <x v="1"/>
    <x v="1"/>
    <x v="2"/>
    <n v="2693"/>
    <n v="3"/>
    <x v="1"/>
    <n v="1"/>
    <s v="No"/>
    <n v="0"/>
  </r>
  <r>
    <n v="12"/>
    <n v="38"/>
    <x v="1"/>
    <x v="1"/>
    <x v="3"/>
    <n v="9526"/>
    <n v="3"/>
    <x v="1"/>
    <n v="9"/>
    <s v="No"/>
    <n v="0"/>
  </r>
  <r>
    <n v="13"/>
    <n v="36"/>
    <x v="1"/>
    <x v="1"/>
    <x v="4"/>
    <n v="5237"/>
    <n v="3"/>
    <x v="1"/>
    <n v="7"/>
    <s v="No"/>
    <n v="0"/>
  </r>
  <r>
    <n v="14"/>
    <n v="35"/>
    <x v="1"/>
    <x v="1"/>
    <x v="2"/>
    <n v="2426"/>
    <n v="2"/>
    <x v="1"/>
    <n v="5"/>
    <s v="No"/>
    <n v="0"/>
  </r>
  <r>
    <n v="15"/>
    <n v="29"/>
    <x v="0"/>
    <x v="1"/>
    <x v="2"/>
    <n v="4193"/>
    <n v="3"/>
    <x v="0"/>
    <n v="9"/>
    <s v="No"/>
    <n v="0"/>
  </r>
  <r>
    <n v="16"/>
    <n v="31"/>
    <x v="1"/>
    <x v="1"/>
    <x v="1"/>
    <n v="2911"/>
    <n v="3"/>
    <x v="1"/>
    <n v="5"/>
    <s v="No"/>
    <n v="0"/>
  </r>
  <r>
    <n v="18"/>
    <n v="34"/>
    <x v="1"/>
    <x v="1"/>
    <x v="2"/>
    <n v="2661"/>
    <n v="4"/>
    <x v="1"/>
    <n v="2"/>
    <s v="No"/>
    <n v="0"/>
  </r>
  <r>
    <n v="19"/>
    <n v="28"/>
    <x v="1"/>
    <x v="1"/>
    <x v="2"/>
    <n v="2028"/>
    <n v="3"/>
    <x v="0"/>
    <n v="4"/>
    <s v="Yes"/>
    <n v="1"/>
  </r>
  <r>
    <n v="20"/>
    <n v="29"/>
    <x v="0"/>
    <x v="1"/>
    <x v="3"/>
    <n v="9980"/>
    <n v="1"/>
    <x v="1"/>
    <n v="10"/>
    <s v="No"/>
    <n v="0"/>
  </r>
  <r>
    <n v="21"/>
    <n v="32"/>
    <x v="1"/>
    <x v="1"/>
    <x v="1"/>
    <n v="3298"/>
    <n v="2"/>
    <x v="0"/>
    <n v="6"/>
    <s v="No"/>
    <n v="0"/>
  </r>
  <r>
    <n v="22"/>
    <n v="22"/>
    <x v="1"/>
    <x v="1"/>
    <x v="2"/>
    <n v="2935"/>
    <n v="4"/>
    <x v="0"/>
    <n v="1"/>
    <s v="No"/>
    <n v="0"/>
  </r>
  <r>
    <n v="23"/>
    <n v="53"/>
    <x v="0"/>
    <x v="0"/>
    <x v="5"/>
    <n v="15427"/>
    <n v="4"/>
    <x v="1"/>
    <n v="25"/>
    <s v="No"/>
    <n v="0"/>
  </r>
  <r>
    <n v="24"/>
    <n v="38"/>
    <x v="1"/>
    <x v="1"/>
    <x v="1"/>
    <n v="3944"/>
    <n v="4"/>
    <x v="0"/>
    <n v="3"/>
    <s v="No"/>
    <n v="0"/>
  </r>
  <r>
    <n v="26"/>
    <n v="24"/>
    <x v="0"/>
    <x v="1"/>
    <x v="3"/>
    <n v="4011"/>
    <n v="3"/>
    <x v="1"/>
    <n v="4"/>
    <s v="No"/>
    <n v="0"/>
  </r>
  <r>
    <n v="27"/>
    <n v="36"/>
    <x v="1"/>
    <x v="0"/>
    <x v="6"/>
    <n v="3407"/>
    <n v="1"/>
    <x v="1"/>
    <n v="5"/>
    <s v="Yes"/>
    <n v="1"/>
  </r>
  <r>
    <n v="28"/>
    <n v="34"/>
    <x v="0"/>
    <x v="1"/>
    <x v="7"/>
    <n v="11994"/>
    <n v="2"/>
    <x v="1"/>
    <n v="12"/>
    <s v="No"/>
    <n v="0"/>
  </r>
  <r>
    <n v="30"/>
    <n v="21"/>
    <x v="1"/>
    <x v="1"/>
    <x v="1"/>
    <n v="1232"/>
    <n v="4"/>
    <x v="1"/>
    <n v="0"/>
    <s v="No"/>
    <n v="0"/>
  </r>
  <r>
    <n v="31"/>
    <n v="34"/>
    <x v="1"/>
    <x v="1"/>
    <x v="1"/>
    <n v="2960"/>
    <n v="1"/>
    <x v="1"/>
    <n v="4"/>
    <s v="Yes"/>
    <n v="1"/>
  </r>
  <r>
    <n v="32"/>
    <n v="53"/>
    <x v="0"/>
    <x v="1"/>
    <x v="5"/>
    <n v="19094"/>
    <n v="3"/>
    <x v="1"/>
    <n v="14"/>
    <s v="No"/>
    <n v="0"/>
  </r>
  <r>
    <n v="33"/>
    <n v="32"/>
    <x v="0"/>
    <x v="1"/>
    <x v="1"/>
    <n v="3919"/>
    <n v="1"/>
    <x v="0"/>
    <n v="10"/>
    <s v="Yes"/>
    <n v="1"/>
  </r>
  <r>
    <n v="35"/>
    <n v="42"/>
    <x v="1"/>
    <x v="0"/>
    <x v="0"/>
    <n v="6825"/>
    <n v="2"/>
    <x v="1"/>
    <n v="9"/>
    <s v="No"/>
    <n v="0"/>
  </r>
  <r>
    <n v="36"/>
    <n v="44"/>
    <x v="0"/>
    <x v="1"/>
    <x v="4"/>
    <n v="10248"/>
    <n v="4"/>
    <x v="1"/>
    <n v="22"/>
    <s v="No"/>
    <n v="0"/>
  </r>
  <r>
    <n v="38"/>
    <n v="46"/>
    <x v="0"/>
    <x v="0"/>
    <x v="5"/>
    <n v="18947"/>
    <n v="1"/>
    <x v="1"/>
    <n v="2"/>
    <s v="No"/>
    <n v="0"/>
  </r>
  <r>
    <n v="39"/>
    <n v="33"/>
    <x v="1"/>
    <x v="1"/>
    <x v="2"/>
    <n v="2496"/>
    <n v="4"/>
    <x v="1"/>
    <n v="1"/>
    <s v="No"/>
    <n v="0"/>
  </r>
  <r>
    <n v="40"/>
    <n v="44"/>
    <x v="1"/>
    <x v="1"/>
    <x v="4"/>
    <n v="6465"/>
    <n v="4"/>
    <x v="0"/>
    <n v="4"/>
    <s v="No"/>
    <n v="0"/>
  </r>
  <r>
    <n v="41"/>
    <n v="30"/>
    <x v="1"/>
    <x v="1"/>
    <x v="2"/>
    <n v="2206"/>
    <n v="3"/>
    <x v="1"/>
    <n v="10"/>
    <s v="No"/>
    <n v="0"/>
  </r>
  <r>
    <n v="42"/>
    <n v="39"/>
    <x v="1"/>
    <x v="0"/>
    <x v="6"/>
    <n v="2086"/>
    <n v="4"/>
    <x v="1"/>
    <n v="1"/>
    <s v="Yes"/>
    <n v="1"/>
  </r>
  <r>
    <n v="45"/>
    <n v="24"/>
    <x v="1"/>
    <x v="1"/>
    <x v="1"/>
    <n v="2293"/>
    <n v="4"/>
    <x v="0"/>
    <n v="2"/>
    <s v="Yes"/>
    <n v="1"/>
  </r>
  <r>
    <n v="46"/>
    <n v="43"/>
    <x v="0"/>
    <x v="1"/>
    <x v="1"/>
    <n v="2645"/>
    <n v="3"/>
    <x v="1"/>
    <n v="5"/>
    <s v="No"/>
    <n v="0"/>
  </r>
  <r>
    <n v="47"/>
    <n v="50"/>
    <x v="1"/>
    <x v="0"/>
    <x v="6"/>
    <n v="2683"/>
    <n v="3"/>
    <x v="0"/>
    <n v="3"/>
    <s v="Yes"/>
    <n v="1"/>
  </r>
  <r>
    <n v="49"/>
    <n v="35"/>
    <x v="0"/>
    <x v="0"/>
    <x v="6"/>
    <n v="2014"/>
    <n v="4"/>
    <x v="1"/>
    <n v="2"/>
    <s v="No"/>
    <n v="0"/>
  </r>
  <r>
    <n v="51"/>
    <n v="36"/>
    <x v="0"/>
    <x v="1"/>
    <x v="1"/>
    <n v="3419"/>
    <n v="1"/>
    <x v="0"/>
    <n v="1"/>
    <s v="No"/>
    <n v="0"/>
  </r>
  <r>
    <n v="52"/>
    <n v="33"/>
    <x v="0"/>
    <x v="0"/>
    <x v="0"/>
    <n v="5376"/>
    <n v="1"/>
    <x v="1"/>
    <n v="5"/>
    <s v="No"/>
    <n v="0"/>
  </r>
  <r>
    <n v="53"/>
    <n v="35"/>
    <x v="1"/>
    <x v="1"/>
    <x v="2"/>
    <n v="1951"/>
    <n v="4"/>
    <x v="1"/>
    <n v="1"/>
    <s v="No"/>
    <n v="0"/>
  </r>
  <r>
    <n v="54"/>
    <n v="27"/>
    <x v="0"/>
    <x v="1"/>
    <x v="2"/>
    <n v="2341"/>
    <n v="1"/>
    <x v="1"/>
    <n v="1"/>
    <s v="No"/>
    <n v="0"/>
  </r>
  <r>
    <n v="55"/>
    <n v="26"/>
    <x v="1"/>
    <x v="1"/>
    <x v="2"/>
    <n v="2293"/>
    <n v="3"/>
    <x v="1"/>
    <n v="1"/>
    <s v="Yes"/>
    <n v="1"/>
  </r>
  <r>
    <n v="56"/>
    <n v="27"/>
    <x v="1"/>
    <x v="0"/>
    <x v="0"/>
    <n v="8726"/>
    <n v="3"/>
    <x v="1"/>
    <n v="9"/>
    <s v="No"/>
    <n v="0"/>
  </r>
  <r>
    <n v="57"/>
    <n v="30"/>
    <x v="0"/>
    <x v="1"/>
    <x v="2"/>
    <n v="4011"/>
    <n v="4"/>
    <x v="1"/>
    <n v="12"/>
    <s v="No"/>
    <n v="0"/>
  </r>
  <r>
    <n v="58"/>
    <n v="41"/>
    <x v="0"/>
    <x v="1"/>
    <x v="7"/>
    <n v="19545"/>
    <n v="3"/>
    <x v="1"/>
    <n v="22"/>
    <s v="Yes"/>
    <n v="1"/>
  </r>
  <r>
    <n v="60"/>
    <n v="34"/>
    <x v="1"/>
    <x v="0"/>
    <x v="0"/>
    <n v="4568"/>
    <n v="3"/>
    <x v="1"/>
    <n v="9"/>
    <s v="No"/>
    <n v="0"/>
  </r>
  <r>
    <n v="61"/>
    <n v="37"/>
    <x v="1"/>
    <x v="1"/>
    <x v="1"/>
    <n v="3022"/>
    <n v="2"/>
    <x v="1"/>
    <n v="1"/>
    <s v="No"/>
    <n v="0"/>
  </r>
  <r>
    <n v="62"/>
    <n v="46"/>
    <x v="1"/>
    <x v="0"/>
    <x v="0"/>
    <n v="5772"/>
    <n v="4"/>
    <x v="0"/>
    <n v="9"/>
    <s v="No"/>
    <n v="0"/>
  </r>
  <r>
    <n v="63"/>
    <n v="35"/>
    <x v="1"/>
    <x v="1"/>
    <x v="2"/>
    <n v="2269"/>
    <n v="4"/>
    <x v="1"/>
    <n v="1"/>
    <s v="No"/>
    <n v="0"/>
  </r>
  <r>
    <n v="64"/>
    <n v="48"/>
    <x v="1"/>
    <x v="1"/>
    <x v="2"/>
    <n v="5381"/>
    <n v="3"/>
    <x v="0"/>
    <n v="1"/>
    <s v="Yes"/>
    <n v="1"/>
  </r>
  <r>
    <n v="65"/>
    <n v="28"/>
    <x v="1"/>
    <x v="1"/>
    <x v="2"/>
    <n v="3441"/>
    <n v="3"/>
    <x v="0"/>
    <n v="2"/>
    <s v="Yes"/>
    <n v="1"/>
  </r>
  <r>
    <n v="68"/>
    <n v="44"/>
    <x v="0"/>
    <x v="0"/>
    <x v="0"/>
    <n v="5454"/>
    <n v="1"/>
    <x v="0"/>
    <n v="4"/>
    <s v="No"/>
    <n v="0"/>
  </r>
  <r>
    <n v="70"/>
    <n v="35"/>
    <x v="1"/>
    <x v="1"/>
    <x v="4"/>
    <n v="9884"/>
    <n v="1"/>
    <x v="0"/>
    <n v="4"/>
    <s v="No"/>
    <n v="0"/>
  </r>
  <r>
    <n v="72"/>
    <n v="26"/>
    <x v="0"/>
    <x v="0"/>
    <x v="0"/>
    <n v="4157"/>
    <n v="4"/>
    <x v="0"/>
    <n v="2"/>
    <s v="No"/>
    <n v="0"/>
  </r>
  <r>
    <n v="73"/>
    <n v="33"/>
    <x v="0"/>
    <x v="1"/>
    <x v="7"/>
    <n v="13458"/>
    <n v="4"/>
    <x v="0"/>
    <n v="15"/>
    <s v="No"/>
    <n v="0"/>
  </r>
  <r>
    <n v="74"/>
    <n v="35"/>
    <x v="1"/>
    <x v="0"/>
    <x v="0"/>
    <n v="9069"/>
    <n v="1"/>
    <x v="1"/>
    <n v="9"/>
    <s v="No"/>
    <n v="0"/>
  </r>
  <r>
    <n v="75"/>
    <n v="35"/>
    <x v="0"/>
    <x v="1"/>
    <x v="2"/>
    <n v="4014"/>
    <n v="1"/>
    <x v="0"/>
    <n v="2"/>
    <s v="No"/>
    <n v="0"/>
  </r>
  <r>
    <n v="76"/>
    <n v="31"/>
    <x v="1"/>
    <x v="1"/>
    <x v="2"/>
    <n v="5915"/>
    <n v="4"/>
    <x v="1"/>
    <n v="7"/>
    <s v="No"/>
    <n v="0"/>
  </r>
  <r>
    <n v="77"/>
    <n v="37"/>
    <x v="1"/>
    <x v="1"/>
    <x v="3"/>
    <n v="5993"/>
    <n v="3"/>
    <x v="1"/>
    <n v="7"/>
    <s v="No"/>
    <n v="0"/>
  </r>
  <r>
    <n v="78"/>
    <n v="32"/>
    <x v="1"/>
    <x v="1"/>
    <x v="3"/>
    <n v="6162"/>
    <n v="4"/>
    <x v="0"/>
    <n v="9"/>
    <s v="No"/>
    <n v="0"/>
  </r>
  <r>
    <n v="79"/>
    <n v="38"/>
    <x v="0"/>
    <x v="1"/>
    <x v="2"/>
    <n v="2406"/>
    <n v="4"/>
    <x v="1"/>
    <n v="10"/>
    <s v="No"/>
    <n v="0"/>
  </r>
  <r>
    <n v="80"/>
    <n v="50"/>
    <x v="0"/>
    <x v="1"/>
    <x v="7"/>
    <n v="18740"/>
    <n v="3"/>
    <x v="0"/>
    <n v="27"/>
    <s v="No"/>
    <n v="0"/>
  </r>
  <r>
    <n v="81"/>
    <n v="59"/>
    <x v="0"/>
    <x v="0"/>
    <x v="0"/>
    <n v="7637"/>
    <n v="1"/>
    <x v="1"/>
    <n v="21"/>
    <s v="No"/>
    <n v="0"/>
  </r>
  <r>
    <n v="83"/>
    <n v="36"/>
    <x v="0"/>
    <x v="1"/>
    <x v="4"/>
    <n v="10096"/>
    <n v="3"/>
    <x v="1"/>
    <n v="17"/>
    <s v="No"/>
    <n v="0"/>
  </r>
  <r>
    <n v="84"/>
    <n v="55"/>
    <x v="0"/>
    <x v="1"/>
    <x v="5"/>
    <n v="14756"/>
    <n v="3"/>
    <x v="0"/>
    <n v="5"/>
    <s v="No"/>
    <n v="0"/>
  </r>
  <r>
    <n v="85"/>
    <n v="36"/>
    <x v="1"/>
    <x v="1"/>
    <x v="3"/>
    <n v="6499"/>
    <n v="2"/>
    <x v="1"/>
    <n v="6"/>
    <s v="No"/>
    <n v="0"/>
  </r>
  <r>
    <n v="86"/>
    <n v="45"/>
    <x v="1"/>
    <x v="1"/>
    <x v="1"/>
    <n v="9724"/>
    <n v="1"/>
    <x v="1"/>
    <n v="1"/>
    <s v="No"/>
    <n v="0"/>
  </r>
  <r>
    <n v="88"/>
    <n v="35"/>
    <x v="1"/>
    <x v="1"/>
    <x v="1"/>
    <n v="2194"/>
    <n v="1"/>
    <x v="1"/>
    <n v="3"/>
    <s v="No"/>
    <n v="0"/>
  </r>
  <r>
    <n v="90"/>
    <n v="36"/>
    <x v="1"/>
    <x v="1"/>
    <x v="1"/>
    <n v="3388"/>
    <n v="3"/>
    <x v="0"/>
    <n v="1"/>
    <s v="Yes"/>
    <n v="1"/>
  </r>
  <r>
    <n v="91"/>
    <n v="59"/>
    <x v="0"/>
    <x v="0"/>
    <x v="0"/>
    <n v="5473"/>
    <n v="3"/>
    <x v="1"/>
    <n v="4"/>
    <s v="No"/>
    <n v="0"/>
  </r>
  <r>
    <n v="94"/>
    <n v="29"/>
    <x v="1"/>
    <x v="1"/>
    <x v="1"/>
    <n v="2703"/>
    <n v="2"/>
    <x v="1"/>
    <n v="5"/>
    <s v="No"/>
    <n v="0"/>
  </r>
  <r>
    <n v="95"/>
    <n v="31"/>
    <x v="1"/>
    <x v="1"/>
    <x v="1"/>
    <n v="2501"/>
    <n v="2"/>
    <x v="1"/>
    <n v="1"/>
    <s v="No"/>
    <n v="0"/>
  </r>
  <r>
    <n v="96"/>
    <n v="32"/>
    <x v="1"/>
    <x v="1"/>
    <x v="1"/>
    <n v="6220"/>
    <n v="2"/>
    <x v="1"/>
    <n v="10"/>
    <s v="No"/>
    <n v="0"/>
  </r>
  <r>
    <n v="97"/>
    <n v="36"/>
    <x v="0"/>
    <x v="1"/>
    <x v="2"/>
    <n v="3038"/>
    <n v="4"/>
    <x v="1"/>
    <n v="1"/>
    <s v="No"/>
    <n v="0"/>
  </r>
  <r>
    <n v="98"/>
    <n v="31"/>
    <x v="0"/>
    <x v="1"/>
    <x v="3"/>
    <n v="4424"/>
    <n v="4"/>
    <x v="1"/>
    <n v="11"/>
    <s v="No"/>
    <n v="0"/>
  </r>
  <r>
    <n v="100"/>
    <n v="35"/>
    <x v="1"/>
    <x v="0"/>
    <x v="0"/>
    <n v="4312"/>
    <n v="1"/>
    <x v="1"/>
    <n v="15"/>
    <s v="No"/>
    <n v="0"/>
  </r>
  <r>
    <n v="101"/>
    <n v="45"/>
    <x v="1"/>
    <x v="1"/>
    <x v="7"/>
    <n v="13245"/>
    <n v="1"/>
    <x v="0"/>
    <n v="0"/>
    <s v="No"/>
    <n v="0"/>
  </r>
  <r>
    <n v="102"/>
    <n v="37"/>
    <x v="1"/>
    <x v="1"/>
    <x v="7"/>
    <n v="13664"/>
    <n v="3"/>
    <x v="1"/>
    <n v="5"/>
    <s v="No"/>
    <n v="0"/>
  </r>
  <r>
    <n v="103"/>
    <n v="46"/>
    <x v="1"/>
    <x v="2"/>
    <x v="8"/>
    <n v="5021"/>
    <n v="2"/>
    <x v="0"/>
    <n v="4"/>
    <s v="No"/>
    <n v="0"/>
  </r>
  <r>
    <n v="104"/>
    <n v="30"/>
    <x v="1"/>
    <x v="1"/>
    <x v="2"/>
    <n v="5126"/>
    <n v="4"/>
    <x v="0"/>
    <n v="10"/>
    <s v="No"/>
    <n v="0"/>
  </r>
  <r>
    <n v="105"/>
    <n v="35"/>
    <x v="1"/>
    <x v="1"/>
    <x v="1"/>
    <n v="2859"/>
    <n v="3"/>
    <x v="1"/>
    <n v="6"/>
    <s v="No"/>
    <n v="0"/>
  </r>
  <r>
    <n v="106"/>
    <n v="55"/>
    <x v="1"/>
    <x v="0"/>
    <x v="0"/>
    <n v="10239"/>
    <n v="4"/>
    <x v="1"/>
    <n v="1"/>
    <s v="No"/>
    <n v="0"/>
  </r>
  <r>
    <n v="107"/>
    <n v="38"/>
    <x v="0"/>
    <x v="1"/>
    <x v="1"/>
    <n v="5329"/>
    <n v="4"/>
    <x v="0"/>
    <n v="13"/>
    <s v="No"/>
    <n v="0"/>
  </r>
  <r>
    <n v="110"/>
    <n v="34"/>
    <x v="1"/>
    <x v="1"/>
    <x v="3"/>
    <n v="4325"/>
    <n v="2"/>
    <x v="1"/>
    <n v="5"/>
    <s v="No"/>
    <n v="0"/>
  </r>
  <r>
    <n v="112"/>
    <n v="56"/>
    <x v="1"/>
    <x v="1"/>
    <x v="3"/>
    <n v="7260"/>
    <n v="4"/>
    <x v="1"/>
    <n v="6"/>
    <s v="No"/>
    <n v="0"/>
  </r>
  <r>
    <n v="113"/>
    <n v="23"/>
    <x v="1"/>
    <x v="0"/>
    <x v="6"/>
    <n v="2322"/>
    <n v="1"/>
    <x v="1"/>
    <n v="0"/>
    <s v="No"/>
    <n v="0"/>
  </r>
  <r>
    <n v="116"/>
    <n v="51"/>
    <x v="1"/>
    <x v="1"/>
    <x v="2"/>
    <n v="2075"/>
    <n v="4"/>
    <x v="1"/>
    <n v="4"/>
    <s v="No"/>
    <n v="0"/>
  </r>
  <r>
    <n v="117"/>
    <n v="30"/>
    <x v="1"/>
    <x v="1"/>
    <x v="4"/>
    <n v="4152"/>
    <n v="4"/>
    <x v="1"/>
    <n v="11"/>
    <s v="No"/>
    <n v="0"/>
  </r>
  <r>
    <n v="118"/>
    <n v="46"/>
    <x v="1"/>
    <x v="0"/>
    <x v="0"/>
    <n v="9619"/>
    <n v="4"/>
    <x v="1"/>
    <n v="9"/>
    <s v="Yes"/>
    <n v="1"/>
  </r>
  <r>
    <n v="119"/>
    <n v="40"/>
    <x v="1"/>
    <x v="1"/>
    <x v="4"/>
    <n v="13503"/>
    <n v="2"/>
    <x v="1"/>
    <n v="22"/>
    <s v="No"/>
    <n v="0"/>
  </r>
  <r>
    <n v="120"/>
    <n v="51"/>
    <x v="1"/>
    <x v="0"/>
    <x v="0"/>
    <n v="5441"/>
    <n v="4"/>
    <x v="0"/>
    <n v="10"/>
    <s v="No"/>
    <n v="0"/>
  </r>
  <r>
    <n v="121"/>
    <n v="30"/>
    <x v="0"/>
    <x v="0"/>
    <x v="0"/>
    <n v="5209"/>
    <n v="2"/>
    <x v="0"/>
    <n v="11"/>
    <s v="No"/>
    <n v="0"/>
  </r>
  <r>
    <n v="124"/>
    <n v="46"/>
    <x v="1"/>
    <x v="1"/>
    <x v="4"/>
    <n v="10673"/>
    <n v="1"/>
    <x v="0"/>
    <n v="10"/>
    <s v="No"/>
    <n v="0"/>
  </r>
  <r>
    <n v="125"/>
    <n v="32"/>
    <x v="1"/>
    <x v="0"/>
    <x v="0"/>
    <n v="5010"/>
    <n v="3"/>
    <x v="1"/>
    <n v="11"/>
    <s v="No"/>
    <n v="0"/>
  </r>
  <r>
    <n v="126"/>
    <n v="54"/>
    <x v="0"/>
    <x v="1"/>
    <x v="7"/>
    <n v="13549"/>
    <n v="3"/>
    <x v="1"/>
    <n v="4"/>
    <s v="No"/>
    <n v="0"/>
  </r>
  <r>
    <n v="128"/>
    <n v="24"/>
    <x v="0"/>
    <x v="0"/>
    <x v="0"/>
    <n v="4999"/>
    <n v="3"/>
    <x v="1"/>
    <n v="3"/>
    <s v="No"/>
    <n v="0"/>
  </r>
  <r>
    <n v="129"/>
    <n v="28"/>
    <x v="1"/>
    <x v="0"/>
    <x v="0"/>
    <n v="4221"/>
    <n v="3"/>
    <x v="1"/>
    <n v="5"/>
    <s v="No"/>
    <n v="0"/>
  </r>
  <r>
    <n v="131"/>
    <n v="58"/>
    <x v="1"/>
    <x v="0"/>
    <x v="0"/>
    <n v="13872"/>
    <n v="3"/>
    <x v="1"/>
    <n v="37"/>
    <s v="No"/>
    <n v="0"/>
  </r>
  <r>
    <n v="132"/>
    <n v="44"/>
    <x v="1"/>
    <x v="1"/>
    <x v="2"/>
    <n v="2042"/>
    <n v="2"/>
    <x v="1"/>
    <n v="3"/>
    <s v="No"/>
    <n v="0"/>
  </r>
  <r>
    <n v="133"/>
    <n v="37"/>
    <x v="1"/>
    <x v="2"/>
    <x v="8"/>
    <n v="2073"/>
    <n v="1"/>
    <x v="0"/>
    <n v="3"/>
    <s v="Yes"/>
    <n v="1"/>
  </r>
  <r>
    <n v="134"/>
    <n v="32"/>
    <x v="1"/>
    <x v="1"/>
    <x v="1"/>
    <n v="2956"/>
    <n v="1"/>
    <x v="1"/>
    <n v="1"/>
    <s v="No"/>
    <n v="0"/>
  </r>
  <r>
    <n v="137"/>
    <n v="20"/>
    <x v="0"/>
    <x v="1"/>
    <x v="2"/>
    <n v="2926"/>
    <n v="4"/>
    <x v="0"/>
    <n v="1"/>
    <s v="Yes"/>
    <n v="1"/>
  </r>
  <r>
    <n v="138"/>
    <n v="34"/>
    <x v="0"/>
    <x v="1"/>
    <x v="1"/>
    <n v="4809"/>
    <n v="3"/>
    <x v="1"/>
    <n v="16"/>
    <s v="No"/>
    <n v="0"/>
  </r>
  <r>
    <n v="139"/>
    <n v="37"/>
    <x v="1"/>
    <x v="1"/>
    <x v="4"/>
    <n v="5163"/>
    <n v="4"/>
    <x v="1"/>
    <n v="1"/>
    <s v="No"/>
    <n v="0"/>
  </r>
  <r>
    <n v="140"/>
    <n v="59"/>
    <x v="0"/>
    <x v="2"/>
    <x v="5"/>
    <n v="18844"/>
    <n v="4"/>
    <x v="1"/>
    <n v="3"/>
    <s v="No"/>
    <n v="0"/>
  </r>
  <r>
    <n v="141"/>
    <n v="50"/>
    <x v="0"/>
    <x v="1"/>
    <x v="7"/>
    <n v="18172"/>
    <n v="2"/>
    <x v="0"/>
    <n v="8"/>
    <s v="No"/>
    <n v="0"/>
  </r>
  <r>
    <n v="142"/>
    <n v="25"/>
    <x v="1"/>
    <x v="0"/>
    <x v="0"/>
    <n v="5744"/>
    <n v="3"/>
    <x v="0"/>
    <n v="6"/>
    <s v="Yes"/>
    <n v="1"/>
  </r>
  <r>
    <n v="143"/>
    <n v="25"/>
    <x v="1"/>
    <x v="1"/>
    <x v="1"/>
    <n v="2889"/>
    <n v="4"/>
    <x v="1"/>
    <n v="2"/>
    <s v="No"/>
    <n v="0"/>
  </r>
  <r>
    <n v="144"/>
    <n v="22"/>
    <x v="0"/>
    <x v="1"/>
    <x v="2"/>
    <n v="2871"/>
    <n v="4"/>
    <x v="1"/>
    <n v="0"/>
    <s v="No"/>
    <n v="0"/>
  </r>
  <r>
    <n v="145"/>
    <n v="51"/>
    <x v="0"/>
    <x v="1"/>
    <x v="4"/>
    <n v="7484"/>
    <n v="1"/>
    <x v="1"/>
    <n v="13"/>
    <s v="No"/>
    <n v="0"/>
  </r>
  <r>
    <n v="147"/>
    <n v="34"/>
    <x v="1"/>
    <x v="1"/>
    <x v="2"/>
    <n v="6074"/>
    <n v="3"/>
    <x v="0"/>
    <n v="9"/>
    <s v="Yes"/>
    <n v="1"/>
  </r>
  <r>
    <n v="148"/>
    <n v="54"/>
    <x v="0"/>
    <x v="2"/>
    <x v="5"/>
    <n v="17328"/>
    <n v="4"/>
    <x v="0"/>
    <n v="5"/>
    <s v="No"/>
    <n v="0"/>
  </r>
  <r>
    <n v="150"/>
    <n v="24"/>
    <x v="1"/>
    <x v="1"/>
    <x v="2"/>
    <n v="2774"/>
    <n v="3"/>
    <x v="1"/>
    <n v="5"/>
    <s v="No"/>
    <n v="0"/>
  </r>
  <r>
    <n v="151"/>
    <n v="34"/>
    <x v="0"/>
    <x v="1"/>
    <x v="1"/>
    <n v="4505"/>
    <n v="2"/>
    <x v="1"/>
    <n v="1"/>
    <s v="No"/>
    <n v="0"/>
  </r>
  <r>
    <n v="152"/>
    <n v="37"/>
    <x v="1"/>
    <x v="0"/>
    <x v="0"/>
    <n v="7428"/>
    <n v="4"/>
    <x v="1"/>
    <n v="5"/>
    <s v="No"/>
    <n v="0"/>
  </r>
  <r>
    <n v="153"/>
    <n v="34"/>
    <x v="0"/>
    <x v="1"/>
    <x v="5"/>
    <n v="11631"/>
    <n v="1"/>
    <x v="1"/>
    <n v="11"/>
    <s v="No"/>
    <n v="0"/>
  </r>
  <r>
    <n v="154"/>
    <n v="36"/>
    <x v="0"/>
    <x v="0"/>
    <x v="0"/>
    <n v="9738"/>
    <n v="4"/>
    <x v="1"/>
    <n v="9"/>
    <s v="No"/>
    <n v="0"/>
  </r>
  <r>
    <n v="155"/>
    <n v="36"/>
    <x v="0"/>
    <x v="1"/>
    <x v="2"/>
    <n v="2835"/>
    <n v="4"/>
    <x v="1"/>
    <n v="1"/>
    <s v="No"/>
    <n v="0"/>
  </r>
  <r>
    <n v="158"/>
    <n v="43"/>
    <x v="1"/>
    <x v="0"/>
    <x v="5"/>
    <n v="16959"/>
    <n v="4"/>
    <x v="0"/>
    <n v="25"/>
    <s v="No"/>
    <n v="0"/>
  </r>
  <r>
    <n v="159"/>
    <n v="30"/>
    <x v="1"/>
    <x v="1"/>
    <x v="1"/>
    <n v="2613"/>
    <n v="3"/>
    <x v="1"/>
    <n v="10"/>
    <s v="No"/>
    <n v="0"/>
  </r>
  <r>
    <n v="160"/>
    <n v="33"/>
    <x v="1"/>
    <x v="0"/>
    <x v="0"/>
    <n v="6146"/>
    <n v="2"/>
    <x v="1"/>
    <n v="7"/>
    <s v="No"/>
    <n v="0"/>
  </r>
  <r>
    <n v="161"/>
    <n v="56"/>
    <x v="0"/>
    <x v="1"/>
    <x v="1"/>
    <n v="4963"/>
    <n v="2"/>
    <x v="0"/>
    <n v="5"/>
    <s v="Yes"/>
    <n v="1"/>
  </r>
  <r>
    <n v="162"/>
    <n v="51"/>
    <x v="1"/>
    <x v="1"/>
    <x v="7"/>
    <n v="19537"/>
    <n v="3"/>
    <x v="1"/>
    <n v="20"/>
    <s v="No"/>
    <n v="0"/>
  </r>
  <r>
    <n v="163"/>
    <n v="31"/>
    <x v="1"/>
    <x v="0"/>
    <x v="0"/>
    <n v="6172"/>
    <n v="3"/>
    <x v="0"/>
    <n v="7"/>
    <s v="Yes"/>
    <n v="1"/>
  </r>
  <r>
    <n v="164"/>
    <n v="26"/>
    <x v="0"/>
    <x v="1"/>
    <x v="1"/>
    <n v="2368"/>
    <n v="2"/>
    <x v="1"/>
    <n v="5"/>
    <s v="No"/>
    <n v="0"/>
  </r>
  <r>
    <n v="165"/>
    <n v="58"/>
    <x v="0"/>
    <x v="1"/>
    <x v="4"/>
    <n v="10312"/>
    <n v="4"/>
    <x v="1"/>
    <n v="40"/>
    <s v="Yes"/>
    <n v="1"/>
  </r>
  <r>
    <n v="167"/>
    <n v="19"/>
    <x v="1"/>
    <x v="0"/>
    <x v="6"/>
    <n v="1675"/>
    <n v="3"/>
    <x v="0"/>
    <n v="0"/>
    <s v="Yes"/>
    <n v="1"/>
  </r>
  <r>
    <n v="169"/>
    <n v="22"/>
    <x v="1"/>
    <x v="1"/>
    <x v="2"/>
    <n v="2523"/>
    <n v="4"/>
    <x v="1"/>
    <n v="2"/>
    <s v="No"/>
    <n v="0"/>
  </r>
  <r>
    <n v="170"/>
    <n v="49"/>
    <x v="0"/>
    <x v="1"/>
    <x v="3"/>
    <n v="6567"/>
    <n v="1"/>
    <x v="1"/>
    <n v="15"/>
    <s v="No"/>
    <n v="0"/>
  </r>
  <r>
    <n v="171"/>
    <n v="43"/>
    <x v="0"/>
    <x v="1"/>
    <x v="1"/>
    <n v="4739"/>
    <n v="3"/>
    <x v="1"/>
    <n v="3"/>
    <s v="No"/>
    <n v="0"/>
  </r>
  <r>
    <n v="174"/>
    <n v="50"/>
    <x v="0"/>
    <x v="0"/>
    <x v="0"/>
    <n v="9208"/>
    <n v="4"/>
    <x v="1"/>
    <n v="2"/>
    <s v="No"/>
    <n v="0"/>
  </r>
  <r>
    <n v="175"/>
    <n v="31"/>
    <x v="0"/>
    <x v="0"/>
    <x v="0"/>
    <n v="4559"/>
    <n v="3"/>
    <x v="0"/>
    <n v="2"/>
    <s v="Yes"/>
    <n v="1"/>
  </r>
  <r>
    <n v="176"/>
    <n v="41"/>
    <x v="1"/>
    <x v="0"/>
    <x v="0"/>
    <n v="8189"/>
    <n v="3"/>
    <x v="0"/>
    <n v="9"/>
    <s v="No"/>
    <n v="0"/>
  </r>
  <r>
    <n v="177"/>
    <n v="26"/>
    <x v="0"/>
    <x v="2"/>
    <x v="8"/>
    <n v="2942"/>
    <n v="3"/>
    <x v="1"/>
    <n v="8"/>
    <s v="No"/>
    <n v="0"/>
  </r>
  <r>
    <n v="178"/>
    <n v="36"/>
    <x v="1"/>
    <x v="1"/>
    <x v="3"/>
    <n v="4941"/>
    <n v="2"/>
    <x v="1"/>
    <n v="3"/>
    <s v="No"/>
    <n v="0"/>
  </r>
  <r>
    <n v="179"/>
    <n v="51"/>
    <x v="1"/>
    <x v="1"/>
    <x v="3"/>
    <n v="10650"/>
    <n v="4"/>
    <x v="1"/>
    <n v="4"/>
    <s v="Yes"/>
    <n v="1"/>
  </r>
  <r>
    <n v="182"/>
    <n v="39"/>
    <x v="0"/>
    <x v="0"/>
    <x v="0"/>
    <n v="5902"/>
    <n v="3"/>
    <x v="1"/>
    <n v="15"/>
    <s v="No"/>
    <n v="0"/>
  </r>
  <r>
    <n v="183"/>
    <n v="25"/>
    <x v="1"/>
    <x v="0"/>
    <x v="0"/>
    <n v="8639"/>
    <n v="3"/>
    <x v="1"/>
    <n v="2"/>
    <s v="No"/>
    <n v="0"/>
  </r>
  <r>
    <n v="184"/>
    <n v="30"/>
    <x v="1"/>
    <x v="2"/>
    <x v="8"/>
    <n v="6347"/>
    <n v="4"/>
    <x v="0"/>
    <n v="11"/>
    <s v="No"/>
    <n v="0"/>
  </r>
  <r>
    <n v="190"/>
    <n v="32"/>
    <x v="0"/>
    <x v="1"/>
    <x v="2"/>
    <n v="4200"/>
    <n v="1"/>
    <x v="1"/>
    <n v="5"/>
    <s v="Yes"/>
    <n v="1"/>
  </r>
  <r>
    <n v="192"/>
    <n v="45"/>
    <x v="1"/>
    <x v="1"/>
    <x v="1"/>
    <n v="3452"/>
    <n v="4"/>
    <x v="1"/>
    <n v="6"/>
    <s v="No"/>
    <n v="0"/>
  </r>
  <r>
    <n v="193"/>
    <n v="38"/>
    <x v="0"/>
    <x v="1"/>
    <x v="1"/>
    <n v="4317"/>
    <n v="3"/>
    <x v="0"/>
    <n v="3"/>
    <s v="No"/>
    <n v="0"/>
  </r>
  <r>
    <n v="194"/>
    <n v="30"/>
    <x v="0"/>
    <x v="1"/>
    <x v="1"/>
    <n v="2632"/>
    <n v="3"/>
    <x v="1"/>
    <n v="5"/>
    <s v="No"/>
    <n v="0"/>
  </r>
  <r>
    <n v="195"/>
    <n v="32"/>
    <x v="1"/>
    <x v="0"/>
    <x v="0"/>
    <n v="4668"/>
    <n v="4"/>
    <x v="1"/>
    <n v="8"/>
    <s v="No"/>
    <n v="0"/>
  </r>
  <r>
    <n v="197"/>
    <n v="30"/>
    <x v="0"/>
    <x v="1"/>
    <x v="1"/>
    <n v="3204"/>
    <n v="1"/>
    <x v="1"/>
    <n v="3"/>
    <s v="No"/>
    <n v="0"/>
  </r>
  <r>
    <n v="198"/>
    <n v="30"/>
    <x v="1"/>
    <x v="1"/>
    <x v="2"/>
    <n v="2720"/>
    <n v="4"/>
    <x v="1"/>
    <n v="5"/>
    <s v="No"/>
    <n v="0"/>
  </r>
  <r>
    <n v="199"/>
    <n v="41"/>
    <x v="1"/>
    <x v="1"/>
    <x v="5"/>
    <n v="17181"/>
    <n v="1"/>
    <x v="1"/>
    <n v="7"/>
    <s v="No"/>
    <n v="0"/>
  </r>
  <r>
    <n v="200"/>
    <n v="41"/>
    <x v="1"/>
    <x v="1"/>
    <x v="2"/>
    <n v="2238"/>
    <n v="1"/>
    <x v="1"/>
    <n v="5"/>
    <s v="No"/>
    <n v="0"/>
  </r>
  <r>
    <n v="201"/>
    <n v="19"/>
    <x v="0"/>
    <x v="1"/>
    <x v="2"/>
    <n v="1483"/>
    <n v="2"/>
    <x v="1"/>
    <n v="1"/>
    <s v="No"/>
    <n v="0"/>
  </r>
  <r>
    <n v="202"/>
    <n v="40"/>
    <x v="0"/>
    <x v="1"/>
    <x v="1"/>
    <n v="5605"/>
    <n v="2"/>
    <x v="1"/>
    <n v="20"/>
    <s v="No"/>
    <n v="0"/>
  </r>
  <r>
    <n v="204"/>
    <n v="35"/>
    <x v="1"/>
    <x v="0"/>
    <x v="0"/>
    <n v="7295"/>
    <n v="2"/>
    <x v="1"/>
    <n v="10"/>
    <s v="No"/>
    <n v="0"/>
  </r>
  <r>
    <n v="205"/>
    <n v="53"/>
    <x v="1"/>
    <x v="0"/>
    <x v="6"/>
    <n v="2306"/>
    <n v="3"/>
    <x v="0"/>
    <n v="7"/>
    <s v="No"/>
    <n v="0"/>
  </r>
  <r>
    <n v="206"/>
    <n v="45"/>
    <x v="1"/>
    <x v="1"/>
    <x v="2"/>
    <n v="2348"/>
    <n v="2"/>
    <x v="1"/>
    <n v="17"/>
    <s v="No"/>
    <n v="0"/>
  </r>
  <r>
    <n v="207"/>
    <n v="32"/>
    <x v="0"/>
    <x v="0"/>
    <x v="0"/>
    <n v="8998"/>
    <n v="4"/>
    <x v="1"/>
    <n v="9"/>
    <s v="No"/>
    <n v="0"/>
  </r>
  <r>
    <n v="208"/>
    <n v="29"/>
    <x v="1"/>
    <x v="1"/>
    <x v="3"/>
    <n v="4319"/>
    <n v="3"/>
    <x v="1"/>
    <n v="10"/>
    <s v="No"/>
    <n v="0"/>
  </r>
  <r>
    <n v="211"/>
    <n v="51"/>
    <x v="1"/>
    <x v="1"/>
    <x v="3"/>
    <n v="6132"/>
    <n v="3"/>
    <x v="1"/>
    <n v="1"/>
    <s v="No"/>
    <n v="0"/>
  </r>
  <r>
    <n v="214"/>
    <n v="58"/>
    <x v="0"/>
    <x v="1"/>
    <x v="1"/>
    <n v="3346"/>
    <n v="2"/>
    <x v="0"/>
    <n v="1"/>
    <s v="No"/>
    <n v="0"/>
  </r>
  <r>
    <n v="215"/>
    <n v="40"/>
    <x v="1"/>
    <x v="0"/>
    <x v="0"/>
    <n v="10855"/>
    <n v="4"/>
    <x v="1"/>
    <n v="12"/>
    <s v="No"/>
    <n v="0"/>
  </r>
  <r>
    <n v="216"/>
    <n v="34"/>
    <x v="0"/>
    <x v="0"/>
    <x v="6"/>
    <n v="2231"/>
    <n v="3"/>
    <x v="1"/>
    <n v="4"/>
    <s v="No"/>
    <n v="0"/>
  </r>
  <r>
    <n v="217"/>
    <n v="22"/>
    <x v="1"/>
    <x v="1"/>
    <x v="1"/>
    <n v="2323"/>
    <n v="4"/>
    <x v="1"/>
    <n v="2"/>
    <s v="No"/>
    <n v="0"/>
  </r>
  <r>
    <n v="218"/>
    <n v="27"/>
    <x v="1"/>
    <x v="1"/>
    <x v="1"/>
    <n v="2024"/>
    <n v="2"/>
    <x v="1"/>
    <n v="2"/>
    <s v="No"/>
    <n v="0"/>
  </r>
  <r>
    <n v="221"/>
    <n v="28"/>
    <x v="1"/>
    <x v="1"/>
    <x v="1"/>
    <n v="2713"/>
    <n v="4"/>
    <x v="1"/>
    <n v="5"/>
    <s v="No"/>
    <n v="0"/>
  </r>
  <r>
    <n v="223"/>
    <n v="57"/>
    <x v="1"/>
    <x v="1"/>
    <x v="4"/>
    <n v="9439"/>
    <n v="4"/>
    <x v="0"/>
    <n v="5"/>
    <s v="No"/>
    <n v="0"/>
  </r>
  <r>
    <n v="224"/>
    <n v="27"/>
    <x v="1"/>
    <x v="1"/>
    <x v="1"/>
    <n v="2566"/>
    <n v="3"/>
    <x v="0"/>
    <n v="1"/>
    <s v="No"/>
    <n v="0"/>
  </r>
  <r>
    <n v="226"/>
    <n v="50"/>
    <x v="0"/>
    <x v="1"/>
    <x v="5"/>
    <n v="19926"/>
    <n v="2"/>
    <x v="1"/>
    <n v="5"/>
    <s v="No"/>
    <n v="0"/>
  </r>
  <r>
    <n v="227"/>
    <n v="41"/>
    <x v="1"/>
    <x v="1"/>
    <x v="1"/>
    <n v="2451"/>
    <n v="3"/>
    <x v="1"/>
    <n v="9"/>
    <s v="No"/>
    <n v="0"/>
  </r>
  <r>
    <n v="228"/>
    <n v="30"/>
    <x v="0"/>
    <x v="0"/>
    <x v="0"/>
    <n v="9419"/>
    <n v="4"/>
    <x v="1"/>
    <n v="10"/>
    <s v="No"/>
    <n v="0"/>
  </r>
  <r>
    <n v="230"/>
    <n v="38"/>
    <x v="0"/>
    <x v="0"/>
    <x v="0"/>
    <n v="8686"/>
    <n v="4"/>
    <x v="1"/>
    <n v="8"/>
    <s v="No"/>
    <n v="0"/>
  </r>
  <r>
    <n v="231"/>
    <n v="32"/>
    <x v="1"/>
    <x v="1"/>
    <x v="1"/>
    <n v="3038"/>
    <n v="3"/>
    <x v="1"/>
    <n v="5"/>
    <s v="No"/>
    <n v="0"/>
  </r>
  <r>
    <n v="233"/>
    <n v="27"/>
    <x v="1"/>
    <x v="1"/>
    <x v="1"/>
    <n v="3058"/>
    <n v="2"/>
    <x v="0"/>
    <n v="5"/>
    <s v="No"/>
    <n v="0"/>
  </r>
  <r>
    <n v="235"/>
    <n v="19"/>
    <x v="0"/>
    <x v="0"/>
    <x v="6"/>
    <n v="2325"/>
    <n v="1"/>
    <x v="1"/>
    <n v="0"/>
    <s v="Yes"/>
    <n v="1"/>
  </r>
  <r>
    <n v="238"/>
    <n v="36"/>
    <x v="1"/>
    <x v="1"/>
    <x v="2"/>
    <n v="2088"/>
    <n v="2"/>
    <x v="1"/>
    <n v="8"/>
    <s v="No"/>
    <n v="0"/>
  </r>
  <r>
    <n v="239"/>
    <n v="30"/>
    <x v="1"/>
    <x v="1"/>
    <x v="2"/>
    <n v="3072"/>
    <n v="1"/>
    <x v="1"/>
    <n v="12"/>
    <s v="No"/>
    <n v="0"/>
  </r>
  <r>
    <n v="240"/>
    <n v="45"/>
    <x v="0"/>
    <x v="0"/>
    <x v="0"/>
    <n v="5006"/>
    <n v="1"/>
    <x v="0"/>
    <n v="5"/>
    <s v="No"/>
    <n v="0"/>
  </r>
  <r>
    <n v="241"/>
    <n v="56"/>
    <x v="0"/>
    <x v="1"/>
    <x v="1"/>
    <n v="4257"/>
    <n v="1"/>
    <x v="0"/>
    <n v="2"/>
    <s v="No"/>
    <n v="0"/>
  </r>
  <r>
    <n v="242"/>
    <n v="33"/>
    <x v="1"/>
    <x v="1"/>
    <x v="1"/>
    <n v="2500"/>
    <n v="4"/>
    <x v="1"/>
    <n v="3"/>
    <s v="No"/>
    <n v="0"/>
  </r>
  <r>
    <n v="243"/>
    <n v="19"/>
    <x v="1"/>
    <x v="1"/>
    <x v="2"/>
    <n v="1102"/>
    <n v="4"/>
    <x v="1"/>
    <n v="1"/>
    <s v="Yes"/>
    <n v="1"/>
  </r>
  <r>
    <n v="244"/>
    <n v="46"/>
    <x v="0"/>
    <x v="0"/>
    <x v="0"/>
    <n v="10453"/>
    <n v="1"/>
    <x v="1"/>
    <n v="24"/>
    <s v="No"/>
    <n v="0"/>
  </r>
  <r>
    <n v="245"/>
    <n v="38"/>
    <x v="0"/>
    <x v="1"/>
    <x v="2"/>
    <n v="2288"/>
    <n v="4"/>
    <x v="1"/>
    <n v="2"/>
    <s v="No"/>
    <n v="0"/>
  </r>
  <r>
    <n v="246"/>
    <n v="31"/>
    <x v="0"/>
    <x v="1"/>
    <x v="1"/>
    <n v="3929"/>
    <n v="4"/>
    <x v="0"/>
    <n v="4"/>
    <s v="No"/>
    <n v="0"/>
  </r>
  <r>
    <n v="247"/>
    <n v="34"/>
    <x v="0"/>
    <x v="1"/>
    <x v="1"/>
    <n v="2311"/>
    <n v="2"/>
    <x v="1"/>
    <n v="3"/>
    <s v="No"/>
    <n v="0"/>
  </r>
  <r>
    <n v="248"/>
    <n v="41"/>
    <x v="0"/>
    <x v="0"/>
    <x v="6"/>
    <n v="3140"/>
    <n v="2"/>
    <x v="0"/>
    <n v="4"/>
    <s v="Yes"/>
    <n v="1"/>
  </r>
  <r>
    <n v="249"/>
    <n v="50"/>
    <x v="1"/>
    <x v="1"/>
    <x v="2"/>
    <n v="3690"/>
    <n v="3"/>
    <x v="1"/>
    <n v="3"/>
    <s v="No"/>
    <n v="0"/>
  </r>
  <r>
    <n v="250"/>
    <n v="53"/>
    <x v="0"/>
    <x v="1"/>
    <x v="3"/>
    <n v="4450"/>
    <n v="1"/>
    <x v="1"/>
    <n v="4"/>
    <s v="No"/>
    <n v="0"/>
  </r>
  <r>
    <n v="252"/>
    <n v="33"/>
    <x v="0"/>
    <x v="1"/>
    <x v="1"/>
    <n v="2756"/>
    <n v="2"/>
    <x v="1"/>
    <n v="8"/>
    <s v="No"/>
    <n v="0"/>
  </r>
  <r>
    <n v="253"/>
    <n v="40"/>
    <x v="0"/>
    <x v="1"/>
    <x v="5"/>
    <n v="19033"/>
    <n v="3"/>
    <x v="1"/>
    <n v="20"/>
    <s v="No"/>
    <n v="0"/>
  </r>
  <r>
    <n v="254"/>
    <n v="55"/>
    <x v="1"/>
    <x v="1"/>
    <x v="7"/>
    <n v="18722"/>
    <n v="2"/>
    <x v="1"/>
    <n v="24"/>
    <s v="No"/>
    <n v="0"/>
  </r>
  <r>
    <n v="256"/>
    <n v="34"/>
    <x v="1"/>
    <x v="1"/>
    <x v="3"/>
    <n v="9547"/>
    <n v="3"/>
    <x v="1"/>
    <n v="10"/>
    <s v="No"/>
    <n v="0"/>
  </r>
  <r>
    <n v="258"/>
    <n v="51"/>
    <x v="0"/>
    <x v="1"/>
    <x v="4"/>
    <n v="13734"/>
    <n v="2"/>
    <x v="1"/>
    <n v="7"/>
    <s v="No"/>
    <n v="0"/>
  </r>
  <r>
    <n v="259"/>
    <n v="52"/>
    <x v="1"/>
    <x v="1"/>
    <x v="5"/>
    <n v="19999"/>
    <n v="3"/>
    <x v="1"/>
    <n v="33"/>
    <s v="No"/>
    <n v="0"/>
  </r>
  <r>
    <n v="260"/>
    <n v="27"/>
    <x v="0"/>
    <x v="1"/>
    <x v="1"/>
    <n v="2279"/>
    <n v="2"/>
    <x v="1"/>
    <n v="7"/>
    <s v="No"/>
    <n v="0"/>
  </r>
  <r>
    <n v="261"/>
    <n v="35"/>
    <x v="1"/>
    <x v="1"/>
    <x v="3"/>
    <n v="5916"/>
    <n v="3"/>
    <x v="0"/>
    <n v="1"/>
    <s v="Yes"/>
    <n v="1"/>
  </r>
  <r>
    <n v="262"/>
    <n v="43"/>
    <x v="1"/>
    <x v="1"/>
    <x v="1"/>
    <n v="2089"/>
    <n v="4"/>
    <x v="1"/>
    <n v="5"/>
    <s v="No"/>
    <n v="0"/>
  </r>
  <r>
    <n v="264"/>
    <n v="45"/>
    <x v="1"/>
    <x v="1"/>
    <x v="5"/>
    <n v="16792"/>
    <n v="4"/>
    <x v="1"/>
    <n v="20"/>
    <s v="No"/>
    <n v="0"/>
  </r>
  <r>
    <n v="267"/>
    <n v="37"/>
    <x v="1"/>
    <x v="1"/>
    <x v="1"/>
    <n v="3564"/>
    <n v="1"/>
    <x v="0"/>
    <n v="8"/>
    <s v="No"/>
    <n v="0"/>
  </r>
  <r>
    <n v="269"/>
    <n v="35"/>
    <x v="0"/>
    <x v="1"/>
    <x v="2"/>
    <n v="4425"/>
    <n v="2"/>
    <x v="1"/>
    <n v="6"/>
    <s v="No"/>
    <n v="0"/>
  </r>
  <r>
    <n v="270"/>
    <n v="42"/>
    <x v="0"/>
    <x v="1"/>
    <x v="3"/>
    <n v="5265"/>
    <n v="3"/>
    <x v="1"/>
    <n v="5"/>
    <s v="No"/>
    <n v="0"/>
  </r>
  <r>
    <n v="271"/>
    <n v="38"/>
    <x v="1"/>
    <x v="1"/>
    <x v="3"/>
    <n v="6553"/>
    <n v="3"/>
    <x v="1"/>
    <n v="1"/>
    <s v="No"/>
    <n v="0"/>
  </r>
  <r>
    <n v="273"/>
    <n v="38"/>
    <x v="1"/>
    <x v="1"/>
    <x v="3"/>
    <n v="6261"/>
    <n v="4"/>
    <x v="1"/>
    <n v="7"/>
    <s v="No"/>
    <n v="0"/>
  </r>
  <r>
    <n v="274"/>
    <n v="27"/>
    <x v="1"/>
    <x v="1"/>
    <x v="3"/>
    <n v="4298"/>
    <n v="1"/>
    <x v="1"/>
    <n v="2"/>
    <s v="No"/>
    <n v="0"/>
  </r>
  <r>
    <n v="275"/>
    <n v="49"/>
    <x v="1"/>
    <x v="1"/>
    <x v="3"/>
    <n v="6804"/>
    <n v="4"/>
    <x v="0"/>
    <n v="7"/>
    <s v="No"/>
    <n v="0"/>
  </r>
  <r>
    <n v="277"/>
    <n v="34"/>
    <x v="1"/>
    <x v="1"/>
    <x v="1"/>
    <n v="3815"/>
    <n v="3"/>
    <x v="0"/>
    <n v="5"/>
    <s v="No"/>
    <n v="0"/>
  </r>
  <r>
    <n v="281"/>
    <n v="40"/>
    <x v="1"/>
    <x v="1"/>
    <x v="2"/>
    <n v="2741"/>
    <n v="4"/>
    <x v="0"/>
    <n v="7"/>
    <s v="No"/>
    <n v="0"/>
  </r>
  <r>
    <n v="282"/>
    <n v="38"/>
    <x v="1"/>
    <x v="1"/>
    <x v="4"/>
    <n v="6673"/>
    <n v="1"/>
    <x v="0"/>
    <n v="1"/>
    <s v="Yes"/>
    <n v="1"/>
  </r>
  <r>
    <n v="283"/>
    <n v="29"/>
    <x v="0"/>
    <x v="0"/>
    <x v="0"/>
    <n v="7639"/>
    <n v="4"/>
    <x v="1"/>
    <n v="10"/>
    <s v="Yes"/>
    <n v="1"/>
  </r>
  <r>
    <n v="284"/>
    <n v="22"/>
    <x v="1"/>
    <x v="1"/>
    <x v="1"/>
    <n v="2328"/>
    <n v="2"/>
    <x v="0"/>
    <n v="4"/>
    <s v="No"/>
    <n v="0"/>
  </r>
  <r>
    <n v="286"/>
    <n v="36"/>
    <x v="0"/>
    <x v="1"/>
    <x v="2"/>
    <n v="2153"/>
    <n v="4"/>
    <x v="1"/>
    <n v="8"/>
    <s v="No"/>
    <n v="0"/>
  </r>
  <r>
    <n v="287"/>
    <n v="40"/>
    <x v="1"/>
    <x v="1"/>
    <x v="4"/>
    <n v="4876"/>
    <n v="4"/>
    <x v="1"/>
    <n v="3"/>
    <s v="No"/>
    <n v="0"/>
  </r>
  <r>
    <n v="288"/>
    <n v="46"/>
    <x v="1"/>
    <x v="1"/>
    <x v="4"/>
    <n v="9396"/>
    <n v="1"/>
    <x v="1"/>
    <n v="4"/>
    <s v="No"/>
    <n v="0"/>
  </r>
  <r>
    <n v="291"/>
    <n v="32"/>
    <x v="1"/>
    <x v="0"/>
    <x v="0"/>
    <n v="10400"/>
    <n v="4"/>
    <x v="1"/>
    <n v="14"/>
    <s v="Yes"/>
    <n v="1"/>
  </r>
  <r>
    <n v="292"/>
    <n v="30"/>
    <x v="1"/>
    <x v="1"/>
    <x v="3"/>
    <n v="8474"/>
    <n v="3"/>
    <x v="1"/>
    <n v="11"/>
    <s v="No"/>
    <n v="0"/>
  </r>
  <r>
    <n v="293"/>
    <n v="27"/>
    <x v="0"/>
    <x v="0"/>
    <x v="0"/>
    <n v="9981"/>
    <n v="3"/>
    <x v="1"/>
    <n v="7"/>
    <s v="No"/>
    <n v="0"/>
  </r>
  <r>
    <n v="296"/>
    <n v="51"/>
    <x v="1"/>
    <x v="1"/>
    <x v="7"/>
    <n v="12490"/>
    <n v="2"/>
    <x v="1"/>
    <n v="10"/>
    <s v="No"/>
    <n v="0"/>
  </r>
  <r>
    <n v="297"/>
    <n v="30"/>
    <x v="0"/>
    <x v="1"/>
    <x v="1"/>
    <n v="2657"/>
    <n v="1"/>
    <x v="0"/>
    <n v="5"/>
    <s v="Yes"/>
    <n v="1"/>
  </r>
  <r>
    <n v="298"/>
    <n v="41"/>
    <x v="0"/>
    <x v="0"/>
    <x v="5"/>
    <n v="13591"/>
    <n v="4"/>
    <x v="0"/>
    <n v="1"/>
    <s v="No"/>
    <n v="0"/>
  </r>
  <r>
    <n v="299"/>
    <n v="30"/>
    <x v="0"/>
    <x v="0"/>
    <x v="0"/>
    <n v="6696"/>
    <n v="1"/>
    <x v="1"/>
    <n v="6"/>
    <s v="Yes"/>
    <n v="1"/>
  </r>
  <r>
    <n v="300"/>
    <n v="29"/>
    <x v="1"/>
    <x v="1"/>
    <x v="1"/>
    <n v="2058"/>
    <n v="3"/>
    <x v="1"/>
    <n v="6"/>
    <s v="Yes"/>
    <n v="1"/>
  </r>
  <r>
    <n v="302"/>
    <n v="45"/>
    <x v="0"/>
    <x v="0"/>
    <x v="0"/>
    <n v="8865"/>
    <n v="4"/>
    <x v="1"/>
    <n v="19"/>
    <s v="No"/>
    <n v="0"/>
  </r>
  <r>
    <n v="303"/>
    <n v="54"/>
    <x v="0"/>
    <x v="0"/>
    <x v="0"/>
    <n v="5940"/>
    <n v="1"/>
    <x v="1"/>
    <n v="6"/>
    <s v="No"/>
    <n v="0"/>
  </r>
  <r>
    <n v="304"/>
    <n v="36"/>
    <x v="1"/>
    <x v="1"/>
    <x v="2"/>
    <n v="5914"/>
    <n v="2"/>
    <x v="1"/>
    <n v="13"/>
    <s v="No"/>
    <n v="0"/>
  </r>
  <r>
    <n v="305"/>
    <n v="33"/>
    <x v="0"/>
    <x v="1"/>
    <x v="1"/>
    <n v="2622"/>
    <n v="2"/>
    <x v="1"/>
    <n v="3"/>
    <s v="No"/>
    <n v="0"/>
  </r>
  <r>
    <n v="306"/>
    <n v="37"/>
    <x v="1"/>
    <x v="1"/>
    <x v="7"/>
    <n v="12185"/>
    <n v="4"/>
    <x v="0"/>
    <n v="10"/>
    <s v="No"/>
    <n v="0"/>
  </r>
  <r>
    <n v="307"/>
    <n v="38"/>
    <x v="1"/>
    <x v="0"/>
    <x v="0"/>
    <n v="10609"/>
    <n v="3"/>
    <x v="1"/>
    <n v="16"/>
    <s v="No"/>
    <n v="0"/>
  </r>
  <r>
    <n v="308"/>
    <n v="31"/>
    <x v="1"/>
    <x v="1"/>
    <x v="3"/>
    <n v="4345"/>
    <n v="3"/>
    <x v="1"/>
    <n v="5"/>
    <s v="No"/>
    <n v="0"/>
  </r>
  <r>
    <n v="309"/>
    <n v="59"/>
    <x v="1"/>
    <x v="1"/>
    <x v="1"/>
    <n v="2177"/>
    <n v="4"/>
    <x v="1"/>
    <n v="1"/>
    <s v="No"/>
    <n v="0"/>
  </r>
  <r>
    <n v="311"/>
    <n v="37"/>
    <x v="1"/>
    <x v="0"/>
    <x v="6"/>
    <n v="2793"/>
    <n v="4"/>
    <x v="1"/>
    <n v="9"/>
    <s v="No"/>
    <n v="0"/>
  </r>
  <r>
    <n v="312"/>
    <n v="29"/>
    <x v="0"/>
    <x v="0"/>
    <x v="0"/>
    <n v="7918"/>
    <n v="4"/>
    <x v="1"/>
    <n v="11"/>
    <s v="No"/>
    <n v="0"/>
  </r>
  <r>
    <n v="314"/>
    <n v="35"/>
    <x v="0"/>
    <x v="0"/>
    <x v="0"/>
    <n v="8789"/>
    <n v="3"/>
    <x v="1"/>
    <n v="10"/>
    <s v="No"/>
    <n v="0"/>
  </r>
  <r>
    <n v="315"/>
    <n v="29"/>
    <x v="1"/>
    <x v="1"/>
    <x v="1"/>
    <n v="2389"/>
    <n v="4"/>
    <x v="0"/>
    <n v="4"/>
    <s v="Yes"/>
    <n v="1"/>
  </r>
  <r>
    <n v="316"/>
    <n v="52"/>
    <x v="0"/>
    <x v="1"/>
    <x v="2"/>
    <n v="3212"/>
    <n v="4"/>
    <x v="1"/>
    <n v="2"/>
    <s v="No"/>
    <n v="0"/>
  </r>
  <r>
    <n v="319"/>
    <n v="42"/>
    <x v="1"/>
    <x v="1"/>
    <x v="5"/>
    <n v="19232"/>
    <n v="4"/>
    <x v="1"/>
    <n v="22"/>
    <s v="No"/>
    <n v="0"/>
  </r>
  <r>
    <n v="321"/>
    <n v="59"/>
    <x v="1"/>
    <x v="2"/>
    <x v="8"/>
    <n v="2267"/>
    <n v="3"/>
    <x v="1"/>
    <n v="2"/>
    <s v="No"/>
    <n v="0"/>
  </r>
  <r>
    <n v="323"/>
    <n v="50"/>
    <x v="0"/>
    <x v="0"/>
    <x v="5"/>
    <n v="19517"/>
    <n v="4"/>
    <x v="1"/>
    <n v="7"/>
    <s v="No"/>
    <n v="0"/>
  </r>
  <r>
    <n v="325"/>
    <n v="33"/>
    <x v="1"/>
    <x v="1"/>
    <x v="2"/>
    <n v="2436"/>
    <n v="4"/>
    <x v="0"/>
    <n v="5"/>
    <s v="Yes"/>
    <n v="1"/>
  </r>
  <r>
    <n v="327"/>
    <n v="43"/>
    <x v="0"/>
    <x v="0"/>
    <x v="5"/>
    <n v="16064"/>
    <n v="4"/>
    <x v="0"/>
    <n v="17"/>
    <s v="No"/>
    <n v="0"/>
  </r>
  <r>
    <n v="328"/>
    <n v="33"/>
    <x v="0"/>
    <x v="1"/>
    <x v="2"/>
    <n v="2707"/>
    <n v="1"/>
    <x v="1"/>
    <n v="9"/>
    <s v="Yes"/>
    <n v="1"/>
  </r>
  <r>
    <n v="329"/>
    <n v="52"/>
    <x v="1"/>
    <x v="0"/>
    <x v="5"/>
    <n v="19068"/>
    <n v="3"/>
    <x v="0"/>
    <n v="33"/>
    <s v="No"/>
    <n v="0"/>
  </r>
  <r>
    <n v="330"/>
    <n v="32"/>
    <x v="0"/>
    <x v="0"/>
    <x v="6"/>
    <n v="3931"/>
    <n v="2"/>
    <x v="1"/>
    <n v="4"/>
    <s v="No"/>
    <n v="0"/>
  </r>
  <r>
    <n v="331"/>
    <n v="32"/>
    <x v="1"/>
    <x v="1"/>
    <x v="2"/>
    <n v="3730"/>
    <n v="3"/>
    <x v="0"/>
    <n v="3"/>
    <s v="Yes"/>
    <n v="1"/>
  </r>
  <r>
    <n v="332"/>
    <n v="39"/>
    <x v="0"/>
    <x v="1"/>
    <x v="2"/>
    <n v="2232"/>
    <n v="3"/>
    <x v="1"/>
    <n v="3"/>
    <s v="No"/>
    <n v="0"/>
  </r>
  <r>
    <n v="333"/>
    <n v="32"/>
    <x v="1"/>
    <x v="0"/>
    <x v="0"/>
    <n v="4465"/>
    <n v="4"/>
    <x v="1"/>
    <n v="3"/>
    <s v="No"/>
    <n v="0"/>
  </r>
  <r>
    <n v="334"/>
    <n v="41"/>
    <x v="1"/>
    <x v="1"/>
    <x v="1"/>
    <n v="3072"/>
    <n v="1"/>
    <x v="1"/>
    <n v="1"/>
    <s v="No"/>
    <n v="0"/>
  </r>
  <r>
    <n v="335"/>
    <n v="40"/>
    <x v="1"/>
    <x v="1"/>
    <x v="1"/>
    <n v="3319"/>
    <n v="4"/>
    <x v="1"/>
    <n v="9"/>
    <s v="No"/>
    <n v="0"/>
  </r>
  <r>
    <n v="336"/>
    <n v="45"/>
    <x v="1"/>
    <x v="1"/>
    <x v="5"/>
    <n v="19202"/>
    <n v="4"/>
    <x v="1"/>
    <n v="24"/>
    <s v="No"/>
    <n v="0"/>
  </r>
  <r>
    <n v="337"/>
    <n v="31"/>
    <x v="1"/>
    <x v="1"/>
    <x v="7"/>
    <n v="13675"/>
    <n v="3"/>
    <x v="1"/>
    <n v="2"/>
    <s v="No"/>
    <n v="0"/>
  </r>
  <r>
    <n v="338"/>
    <n v="33"/>
    <x v="0"/>
    <x v="1"/>
    <x v="1"/>
    <n v="2911"/>
    <n v="4"/>
    <x v="1"/>
    <n v="2"/>
    <s v="No"/>
    <n v="0"/>
  </r>
  <r>
    <n v="339"/>
    <n v="34"/>
    <x v="1"/>
    <x v="1"/>
    <x v="3"/>
    <n v="5957"/>
    <n v="1"/>
    <x v="1"/>
    <n v="11"/>
    <s v="No"/>
    <n v="0"/>
  </r>
  <r>
    <n v="340"/>
    <n v="37"/>
    <x v="0"/>
    <x v="1"/>
    <x v="1"/>
    <n v="3920"/>
    <n v="1"/>
    <x v="1"/>
    <n v="3"/>
    <s v="No"/>
    <n v="0"/>
  </r>
  <r>
    <n v="341"/>
    <n v="45"/>
    <x v="1"/>
    <x v="1"/>
    <x v="3"/>
    <n v="6434"/>
    <n v="3"/>
    <x v="1"/>
    <n v="3"/>
    <s v="No"/>
    <n v="0"/>
  </r>
  <r>
    <n v="342"/>
    <n v="37"/>
    <x v="1"/>
    <x v="1"/>
    <x v="3"/>
    <n v="10048"/>
    <n v="3"/>
    <x v="1"/>
    <n v="1"/>
    <s v="Yes"/>
    <n v="1"/>
  </r>
  <r>
    <n v="343"/>
    <n v="39"/>
    <x v="0"/>
    <x v="1"/>
    <x v="4"/>
    <n v="10938"/>
    <n v="3"/>
    <x v="1"/>
    <n v="19"/>
    <s v="No"/>
    <n v="0"/>
  </r>
  <r>
    <n v="346"/>
    <n v="29"/>
    <x v="1"/>
    <x v="1"/>
    <x v="1"/>
    <n v="2340"/>
    <n v="4"/>
    <x v="1"/>
    <n v="6"/>
    <s v="No"/>
    <n v="0"/>
  </r>
  <r>
    <n v="347"/>
    <n v="42"/>
    <x v="0"/>
    <x v="1"/>
    <x v="1"/>
    <n v="6545"/>
    <n v="1"/>
    <x v="0"/>
    <n v="3"/>
    <s v="No"/>
    <n v="0"/>
  </r>
  <r>
    <n v="349"/>
    <n v="29"/>
    <x v="1"/>
    <x v="0"/>
    <x v="0"/>
    <n v="6931"/>
    <n v="4"/>
    <x v="1"/>
    <n v="3"/>
    <s v="No"/>
    <n v="0"/>
  </r>
  <r>
    <n v="350"/>
    <n v="25"/>
    <x v="0"/>
    <x v="1"/>
    <x v="3"/>
    <n v="4898"/>
    <n v="3"/>
    <x v="1"/>
    <n v="4"/>
    <s v="No"/>
    <n v="0"/>
  </r>
  <r>
    <n v="351"/>
    <n v="42"/>
    <x v="0"/>
    <x v="1"/>
    <x v="2"/>
    <n v="2593"/>
    <n v="1"/>
    <x v="0"/>
    <n v="9"/>
    <s v="No"/>
    <n v="0"/>
  </r>
  <r>
    <n v="352"/>
    <n v="40"/>
    <x v="1"/>
    <x v="1"/>
    <x v="7"/>
    <n v="19436"/>
    <n v="3"/>
    <x v="1"/>
    <n v="21"/>
    <s v="No"/>
    <n v="0"/>
  </r>
  <r>
    <n v="353"/>
    <n v="51"/>
    <x v="1"/>
    <x v="1"/>
    <x v="1"/>
    <n v="2723"/>
    <n v="4"/>
    <x v="1"/>
    <n v="1"/>
    <s v="No"/>
    <n v="0"/>
  </r>
  <r>
    <n v="355"/>
    <n v="31"/>
    <x v="1"/>
    <x v="1"/>
    <x v="2"/>
    <n v="3479"/>
    <n v="2"/>
    <x v="1"/>
    <n v="5"/>
    <s v="Yes"/>
    <n v="1"/>
  </r>
  <r>
    <n v="359"/>
    <n v="32"/>
    <x v="1"/>
    <x v="1"/>
    <x v="2"/>
    <n v="2794"/>
    <n v="2"/>
    <x v="1"/>
    <n v="5"/>
    <s v="No"/>
    <n v="0"/>
  </r>
  <r>
    <n v="361"/>
    <n v="38"/>
    <x v="1"/>
    <x v="0"/>
    <x v="0"/>
    <n v="5249"/>
    <n v="4"/>
    <x v="1"/>
    <n v="8"/>
    <s v="No"/>
    <n v="0"/>
  </r>
  <r>
    <n v="362"/>
    <n v="32"/>
    <x v="1"/>
    <x v="1"/>
    <x v="2"/>
    <n v="2176"/>
    <n v="1"/>
    <x v="1"/>
    <n v="6"/>
    <s v="No"/>
    <n v="0"/>
  </r>
  <r>
    <n v="363"/>
    <n v="46"/>
    <x v="0"/>
    <x v="0"/>
    <x v="5"/>
    <n v="16872"/>
    <n v="2"/>
    <x v="0"/>
    <n v="7"/>
    <s v="No"/>
    <n v="0"/>
  </r>
  <r>
    <n v="364"/>
    <n v="28"/>
    <x v="1"/>
    <x v="1"/>
    <x v="2"/>
    <n v="3485"/>
    <n v="3"/>
    <x v="1"/>
    <n v="0"/>
    <s v="Yes"/>
    <n v="1"/>
  </r>
  <r>
    <n v="366"/>
    <n v="29"/>
    <x v="1"/>
    <x v="0"/>
    <x v="0"/>
    <n v="6644"/>
    <n v="2"/>
    <x v="1"/>
    <n v="0"/>
    <s v="No"/>
    <n v="0"/>
  </r>
  <r>
    <n v="367"/>
    <n v="31"/>
    <x v="1"/>
    <x v="1"/>
    <x v="4"/>
    <n v="5582"/>
    <n v="4"/>
    <x v="1"/>
    <n v="9"/>
    <s v="No"/>
    <n v="0"/>
  </r>
  <r>
    <n v="369"/>
    <n v="25"/>
    <x v="1"/>
    <x v="1"/>
    <x v="4"/>
    <n v="4000"/>
    <n v="1"/>
    <x v="1"/>
    <n v="6"/>
    <s v="No"/>
    <n v="0"/>
  </r>
  <r>
    <n v="372"/>
    <n v="45"/>
    <x v="1"/>
    <x v="1"/>
    <x v="4"/>
    <n v="13496"/>
    <n v="4"/>
    <x v="0"/>
    <n v="20"/>
    <s v="No"/>
    <n v="0"/>
  </r>
  <r>
    <n v="373"/>
    <n v="36"/>
    <x v="1"/>
    <x v="1"/>
    <x v="2"/>
    <n v="3210"/>
    <n v="4"/>
    <x v="1"/>
    <n v="15"/>
    <s v="No"/>
    <n v="0"/>
  </r>
  <r>
    <n v="374"/>
    <n v="55"/>
    <x v="1"/>
    <x v="1"/>
    <x v="5"/>
    <n v="19045"/>
    <n v="1"/>
    <x v="0"/>
    <n v="36"/>
    <s v="No"/>
    <n v="0"/>
  </r>
  <r>
    <n v="376"/>
    <n v="47"/>
    <x v="1"/>
    <x v="1"/>
    <x v="5"/>
    <n v="11849"/>
    <n v="2"/>
    <x v="0"/>
    <n v="10"/>
    <s v="Yes"/>
    <n v="1"/>
  </r>
  <r>
    <n v="377"/>
    <n v="28"/>
    <x v="1"/>
    <x v="1"/>
    <x v="1"/>
    <n v="2070"/>
    <n v="4"/>
    <x v="1"/>
    <n v="5"/>
    <s v="No"/>
    <n v="0"/>
  </r>
  <r>
    <n v="378"/>
    <n v="37"/>
    <x v="1"/>
    <x v="0"/>
    <x v="0"/>
    <n v="6502"/>
    <n v="4"/>
    <x v="1"/>
    <n v="5"/>
    <s v="No"/>
    <n v="0"/>
  </r>
  <r>
    <n v="379"/>
    <n v="21"/>
    <x v="1"/>
    <x v="1"/>
    <x v="1"/>
    <n v="3230"/>
    <n v="3"/>
    <x v="1"/>
    <n v="3"/>
    <s v="No"/>
    <n v="0"/>
  </r>
  <r>
    <n v="380"/>
    <n v="37"/>
    <x v="0"/>
    <x v="1"/>
    <x v="7"/>
    <n v="13603"/>
    <n v="4"/>
    <x v="0"/>
    <n v="5"/>
    <s v="No"/>
    <n v="0"/>
  </r>
  <r>
    <n v="381"/>
    <n v="35"/>
    <x v="0"/>
    <x v="1"/>
    <x v="5"/>
    <n v="11996"/>
    <n v="2"/>
    <x v="1"/>
    <n v="7"/>
    <s v="No"/>
    <n v="0"/>
  </r>
  <r>
    <n v="382"/>
    <n v="38"/>
    <x v="0"/>
    <x v="0"/>
    <x v="0"/>
    <n v="5605"/>
    <n v="1"/>
    <x v="0"/>
    <n v="8"/>
    <s v="No"/>
    <n v="0"/>
  </r>
  <r>
    <n v="384"/>
    <n v="26"/>
    <x v="0"/>
    <x v="1"/>
    <x v="3"/>
    <n v="6397"/>
    <n v="2"/>
    <x v="1"/>
    <n v="6"/>
    <s v="No"/>
    <n v="0"/>
  </r>
  <r>
    <n v="385"/>
    <n v="50"/>
    <x v="1"/>
    <x v="1"/>
    <x v="7"/>
    <n v="19144"/>
    <n v="2"/>
    <x v="1"/>
    <n v="10"/>
    <s v="No"/>
    <n v="0"/>
  </r>
  <r>
    <n v="386"/>
    <n v="53"/>
    <x v="1"/>
    <x v="1"/>
    <x v="7"/>
    <n v="17584"/>
    <n v="3"/>
    <x v="0"/>
    <n v="5"/>
    <s v="No"/>
    <n v="0"/>
  </r>
  <r>
    <n v="387"/>
    <n v="42"/>
    <x v="1"/>
    <x v="0"/>
    <x v="0"/>
    <n v="4907"/>
    <n v="3"/>
    <x v="1"/>
    <n v="20"/>
    <s v="No"/>
    <n v="0"/>
  </r>
  <r>
    <n v="388"/>
    <n v="29"/>
    <x v="1"/>
    <x v="0"/>
    <x v="0"/>
    <n v="4554"/>
    <n v="4"/>
    <x v="1"/>
    <n v="10"/>
    <s v="No"/>
    <n v="0"/>
  </r>
  <r>
    <n v="389"/>
    <n v="55"/>
    <x v="1"/>
    <x v="1"/>
    <x v="2"/>
    <n v="5415"/>
    <n v="4"/>
    <x v="0"/>
    <n v="10"/>
    <s v="No"/>
    <n v="0"/>
  </r>
  <r>
    <n v="390"/>
    <n v="26"/>
    <x v="1"/>
    <x v="1"/>
    <x v="4"/>
    <n v="4741"/>
    <n v="1"/>
    <x v="0"/>
    <n v="5"/>
    <s v="No"/>
    <n v="0"/>
  </r>
  <r>
    <n v="391"/>
    <n v="37"/>
    <x v="0"/>
    <x v="1"/>
    <x v="1"/>
    <n v="2115"/>
    <n v="4"/>
    <x v="1"/>
    <n v="17"/>
    <s v="No"/>
    <n v="0"/>
  </r>
  <r>
    <n v="392"/>
    <n v="44"/>
    <x v="1"/>
    <x v="1"/>
    <x v="2"/>
    <n v="3161"/>
    <n v="3"/>
    <x v="0"/>
    <n v="1"/>
    <s v="Yes"/>
    <n v="1"/>
  </r>
  <r>
    <n v="393"/>
    <n v="38"/>
    <x v="1"/>
    <x v="1"/>
    <x v="4"/>
    <n v="5745"/>
    <n v="4"/>
    <x v="1"/>
    <n v="2"/>
    <s v="No"/>
    <n v="0"/>
  </r>
  <r>
    <n v="394"/>
    <n v="26"/>
    <x v="1"/>
    <x v="1"/>
    <x v="2"/>
    <n v="2373"/>
    <n v="2"/>
    <x v="0"/>
    <n v="3"/>
    <s v="Yes"/>
    <n v="1"/>
  </r>
  <r>
    <n v="395"/>
    <n v="28"/>
    <x v="0"/>
    <x v="1"/>
    <x v="1"/>
    <n v="3310"/>
    <n v="4"/>
    <x v="1"/>
    <n v="5"/>
    <s v="No"/>
    <n v="0"/>
  </r>
  <r>
    <n v="396"/>
    <n v="49"/>
    <x v="0"/>
    <x v="1"/>
    <x v="7"/>
    <n v="18665"/>
    <n v="1"/>
    <x v="0"/>
    <n v="3"/>
    <s v="No"/>
    <n v="0"/>
  </r>
  <r>
    <n v="397"/>
    <n v="36"/>
    <x v="1"/>
    <x v="1"/>
    <x v="1"/>
    <n v="4485"/>
    <n v="2"/>
    <x v="1"/>
    <n v="8"/>
    <s v="No"/>
    <n v="0"/>
  </r>
  <r>
    <n v="399"/>
    <n v="31"/>
    <x v="0"/>
    <x v="0"/>
    <x v="6"/>
    <n v="2789"/>
    <n v="2"/>
    <x v="1"/>
    <n v="2"/>
    <s v="No"/>
    <n v="0"/>
  </r>
  <r>
    <n v="401"/>
    <n v="26"/>
    <x v="1"/>
    <x v="0"/>
    <x v="0"/>
    <n v="5828"/>
    <n v="4"/>
    <x v="0"/>
    <n v="8"/>
    <s v="Yes"/>
    <n v="1"/>
  </r>
  <r>
    <n v="403"/>
    <n v="37"/>
    <x v="1"/>
    <x v="1"/>
    <x v="1"/>
    <n v="2326"/>
    <n v="4"/>
    <x v="0"/>
    <n v="4"/>
    <s v="No"/>
    <n v="0"/>
  </r>
  <r>
    <n v="404"/>
    <n v="42"/>
    <x v="0"/>
    <x v="0"/>
    <x v="0"/>
    <n v="13525"/>
    <n v="2"/>
    <x v="1"/>
    <n v="20"/>
    <s v="No"/>
    <n v="0"/>
  </r>
  <r>
    <n v="405"/>
    <n v="18"/>
    <x v="1"/>
    <x v="1"/>
    <x v="2"/>
    <n v="1420"/>
    <n v="3"/>
    <x v="1"/>
    <n v="0"/>
    <s v="Yes"/>
    <n v="1"/>
  </r>
  <r>
    <n v="406"/>
    <n v="35"/>
    <x v="1"/>
    <x v="0"/>
    <x v="0"/>
    <n v="8020"/>
    <n v="2"/>
    <x v="1"/>
    <n v="11"/>
    <s v="No"/>
    <n v="0"/>
  </r>
  <r>
    <n v="407"/>
    <n v="36"/>
    <x v="1"/>
    <x v="1"/>
    <x v="2"/>
    <n v="3688"/>
    <n v="4"/>
    <x v="1"/>
    <n v="1"/>
    <s v="No"/>
    <n v="0"/>
  </r>
  <r>
    <n v="408"/>
    <n v="51"/>
    <x v="1"/>
    <x v="1"/>
    <x v="3"/>
    <n v="5482"/>
    <n v="2"/>
    <x v="1"/>
    <n v="4"/>
    <s v="No"/>
    <n v="0"/>
  </r>
  <r>
    <n v="410"/>
    <n v="41"/>
    <x v="1"/>
    <x v="0"/>
    <x v="5"/>
    <n v="16015"/>
    <n v="2"/>
    <x v="1"/>
    <n v="22"/>
    <s v="No"/>
    <n v="0"/>
  </r>
  <r>
    <n v="411"/>
    <n v="18"/>
    <x v="0"/>
    <x v="0"/>
    <x v="6"/>
    <n v="1200"/>
    <n v="3"/>
    <x v="1"/>
    <n v="0"/>
    <s v="No"/>
    <n v="0"/>
  </r>
  <r>
    <n v="412"/>
    <n v="28"/>
    <x v="1"/>
    <x v="1"/>
    <x v="4"/>
    <n v="5661"/>
    <n v="1"/>
    <x v="1"/>
    <n v="8"/>
    <s v="No"/>
    <n v="0"/>
  </r>
  <r>
    <n v="416"/>
    <n v="31"/>
    <x v="1"/>
    <x v="0"/>
    <x v="0"/>
    <n v="6929"/>
    <n v="4"/>
    <x v="1"/>
    <n v="8"/>
    <s v="No"/>
    <n v="0"/>
  </r>
  <r>
    <n v="417"/>
    <n v="39"/>
    <x v="1"/>
    <x v="1"/>
    <x v="4"/>
    <n v="9613"/>
    <n v="4"/>
    <x v="1"/>
    <n v="18"/>
    <s v="No"/>
    <n v="0"/>
  </r>
  <r>
    <n v="419"/>
    <n v="36"/>
    <x v="0"/>
    <x v="1"/>
    <x v="2"/>
    <n v="5674"/>
    <n v="2"/>
    <x v="1"/>
    <n v="9"/>
    <s v="No"/>
    <n v="0"/>
  </r>
  <r>
    <n v="420"/>
    <n v="32"/>
    <x v="1"/>
    <x v="0"/>
    <x v="0"/>
    <n v="5484"/>
    <n v="3"/>
    <x v="1"/>
    <n v="13"/>
    <s v="No"/>
    <n v="0"/>
  </r>
  <r>
    <n v="421"/>
    <n v="38"/>
    <x v="0"/>
    <x v="1"/>
    <x v="7"/>
    <n v="12061"/>
    <n v="2"/>
    <x v="1"/>
    <n v="10"/>
    <s v="No"/>
    <n v="0"/>
  </r>
  <r>
    <n v="422"/>
    <n v="58"/>
    <x v="1"/>
    <x v="1"/>
    <x v="4"/>
    <n v="5660"/>
    <n v="3"/>
    <x v="0"/>
    <n v="5"/>
    <s v="No"/>
    <n v="0"/>
  </r>
  <r>
    <n v="423"/>
    <n v="31"/>
    <x v="1"/>
    <x v="1"/>
    <x v="1"/>
    <n v="4821"/>
    <n v="4"/>
    <x v="0"/>
    <n v="5"/>
    <s v="No"/>
    <n v="0"/>
  </r>
  <r>
    <n v="424"/>
    <n v="31"/>
    <x v="1"/>
    <x v="2"/>
    <x v="8"/>
    <n v="6410"/>
    <n v="1"/>
    <x v="1"/>
    <n v="2"/>
    <s v="No"/>
    <n v="0"/>
  </r>
  <r>
    <n v="425"/>
    <n v="45"/>
    <x v="1"/>
    <x v="1"/>
    <x v="2"/>
    <n v="5210"/>
    <n v="1"/>
    <x v="1"/>
    <n v="24"/>
    <s v="No"/>
    <n v="0"/>
  </r>
  <r>
    <n v="426"/>
    <n v="31"/>
    <x v="1"/>
    <x v="1"/>
    <x v="1"/>
    <n v="2695"/>
    <n v="4"/>
    <x v="0"/>
    <n v="2"/>
    <s v="No"/>
    <n v="0"/>
  </r>
  <r>
    <n v="428"/>
    <n v="33"/>
    <x v="0"/>
    <x v="1"/>
    <x v="5"/>
    <n v="11878"/>
    <n v="2"/>
    <x v="1"/>
    <n v="10"/>
    <s v="No"/>
    <n v="0"/>
  </r>
  <r>
    <n v="429"/>
    <n v="39"/>
    <x v="1"/>
    <x v="1"/>
    <x v="5"/>
    <n v="17068"/>
    <n v="1"/>
    <x v="0"/>
    <n v="21"/>
    <s v="No"/>
    <n v="0"/>
  </r>
  <r>
    <n v="430"/>
    <n v="43"/>
    <x v="0"/>
    <x v="1"/>
    <x v="2"/>
    <n v="2455"/>
    <n v="4"/>
    <x v="1"/>
    <n v="8"/>
    <s v="No"/>
    <n v="0"/>
  </r>
  <r>
    <n v="431"/>
    <n v="49"/>
    <x v="0"/>
    <x v="1"/>
    <x v="4"/>
    <n v="13964"/>
    <n v="3"/>
    <x v="0"/>
    <n v="7"/>
    <s v="No"/>
    <n v="0"/>
  </r>
  <r>
    <n v="433"/>
    <n v="52"/>
    <x v="1"/>
    <x v="1"/>
    <x v="1"/>
    <n v="4941"/>
    <n v="2"/>
    <x v="1"/>
    <n v="8"/>
    <s v="Yes"/>
    <n v="1"/>
  </r>
  <r>
    <n v="434"/>
    <n v="27"/>
    <x v="0"/>
    <x v="1"/>
    <x v="1"/>
    <n v="2478"/>
    <n v="2"/>
    <x v="0"/>
    <n v="4"/>
    <s v="No"/>
    <n v="0"/>
  </r>
  <r>
    <n v="436"/>
    <n v="32"/>
    <x v="0"/>
    <x v="0"/>
    <x v="0"/>
    <n v="5228"/>
    <n v="2"/>
    <x v="0"/>
    <n v="13"/>
    <s v="No"/>
    <n v="0"/>
  </r>
  <r>
    <n v="437"/>
    <n v="27"/>
    <x v="1"/>
    <x v="0"/>
    <x v="0"/>
    <n v="4478"/>
    <n v="3"/>
    <x v="0"/>
    <n v="5"/>
    <s v="No"/>
    <n v="0"/>
  </r>
  <r>
    <n v="438"/>
    <n v="31"/>
    <x v="1"/>
    <x v="0"/>
    <x v="0"/>
    <n v="7547"/>
    <n v="4"/>
    <x v="1"/>
    <n v="7"/>
    <s v="No"/>
    <n v="0"/>
  </r>
  <r>
    <n v="439"/>
    <n v="32"/>
    <x v="0"/>
    <x v="1"/>
    <x v="1"/>
    <n v="5055"/>
    <n v="4"/>
    <x v="1"/>
    <n v="7"/>
    <s v="No"/>
    <n v="0"/>
  </r>
  <r>
    <n v="440"/>
    <n v="28"/>
    <x v="1"/>
    <x v="1"/>
    <x v="1"/>
    <n v="3464"/>
    <n v="4"/>
    <x v="0"/>
    <n v="3"/>
    <s v="Yes"/>
    <n v="1"/>
  </r>
  <r>
    <n v="441"/>
    <n v="30"/>
    <x v="0"/>
    <x v="1"/>
    <x v="1"/>
    <n v="5775"/>
    <n v="4"/>
    <x v="1"/>
    <n v="10"/>
    <s v="No"/>
    <n v="0"/>
  </r>
  <r>
    <n v="442"/>
    <n v="31"/>
    <x v="0"/>
    <x v="1"/>
    <x v="3"/>
    <n v="8943"/>
    <n v="3"/>
    <x v="1"/>
    <n v="10"/>
    <s v="No"/>
    <n v="0"/>
  </r>
  <r>
    <n v="444"/>
    <n v="39"/>
    <x v="1"/>
    <x v="1"/>
    <x v="5"/>
    <n v="19272"/>
    <n v="4"/>
    <x v="1"/>
    <n v="21"/>
    <s v="No"/>
    <n v="0"/>
  </r>
  <r>
    <n v="445"/>
    <n v="39"/>
    <x v="0"/>
    <x v="0"/>
    <x v="0"/>
    <n v="5238"/>
    <n v="3"/>
    <x v="0"/>
    <n v="1"/>
    <s v="Yes"/>
    <n v="1"/>
  </r>
  <r>
    <n v="446"/>
    <n v="33"/>
    <x v="1"/>
    <x v="0"/>
    <x v="0"/>
    <n v="4682"/>
    <n v="4"/>
    <x v="1"/>
    <n v="7"/>
    <s v="No"/>
    <n v="0"/>
  </r>
  <r>
    <n v="447"/>
    <n v="47"/>
    <x v="1"/>
    <x v="1"/>
    <x v="7"/>
    <n v="18300"/>
    <n v="3"/>
    <x v="1"/>
    <n v="3"/>
    <s v="No"/>
    <n v="0"/>
  </r>
  <r>
    <n v="448"/>
    <n v="43"/>
    <x v="0"/>
    <x v="1"/>
    <x v="2"/>
    <n v="5257"/>
    <n v="3"/>
    <x v="1"/>
    <n v="9"/>
    <s v="No"/>
    <n v="0"/>
  </r>
  <r>
    <n v="449"/>
    <n v="27"/>
    <x v="1"/>
    <x v="0"/>
    <x v="0"/>
    <n v="6349"/>
    <n v="2"/>
    <x v="0"/>
    <n v="5"/>
    <s v="No"/>
    <n v="0"/>
  </r>
  <r>
    <n v="450"/>
    <n v="54"/>
    <x v="0"/>
    <x v="1"/>
    <x v="1"/>
    <n v="4869"/>
    <n v="3"/>
    <x v="1"/>
    <n v="4"/>
    <s v="No"/>
    <n v="0"/>
  </r>
  <r>
    <n v="451"/>
    <n v="43"/>
    <x v="0"/>
    <x v="1"/>
    <x v="4"/>
    <n v="9985"/>
    <n v="1"/>
    <x v="1"/>
    <n v="1"/>
    <s v="No"/>
    <n v="0"/>
  </r>
  <r>
    <n v="452"/>
    <n v="45"/>
    <x v="1"/>
    <x v="1"/>
    <x v="1"/>
    <n v="3697"/>
    <n v="4"/>
    <x v="1"/>
    <n v="10"/>
    <s v="No"/>
    <n v="0"/>
  </r>
  <r>
    <n v="453"/>
    <n v="40"/>
    <x v="1"/>
    <x v="0"/>
    <x v="0"/>
    <n v="7457"/>
    <n v="4"/>
    <x v="0"/>
    <n v="4"/>
    <s v="No"/>
    <n v="0"/>
  </r>
  <r>
    <n v="454"/>
    <n v="29"/>
    <x v="1"/>
    <x v="1"/>
    <x v="2"/>
    <n v="2119"/>
    <n v="1"/>
    <x v="0"/>
    <n v="7"/>
    <s v="Yes"/>
    <n v="1"/>
  </r>
  <r>
    <n v="455"/>
    <n v="29"/>
    <x v="1"/>
    <x v="1"/>
    <x v="2"/>
    <n v="3983"/>
    <n v="4"/>
    <x v="1"/>
    <n v="3"/>
    <s v="No"/>
    <n v="0"/>
  </r>
  <r>
    <n v="456"/>
    <n v="30"/>
    <x v="0"/>
    <x v="0"/>
    <x v="0"/>
    <n v="6118"/>
    <n v="3"/>
    <x v="1"/>
    <n v="10"/>
    <s v="No"/>
    <n v="0"/>
  </r>
  <r>
    <n v="458"/>
    <n v="27"/>
    <x v="0"/>
    <x v="0"/>
    <x v="0"/>
    <n v="6214"/>
    <n v="2"/>
    <x v="1"/>
    <n v="8"/>
    <s v="No"/>
    <n v="0"/>
  </r>
  <r>
    <n v="460"/>
    <n v="37"/>
    <x v="1"/>
    <x v="1"/>
    <x v="3"/>
    <n v="6347"/>
    <n v="4"/>
    <x v="1"/>
    <n v="6"/>
    <s v="No"/>
    <n v="0"/>
  </r>
  <r>
    <n v="461"/>
    <n v="38"/>
    <x v="1"/>
    <x v="1"/>
    <x v="7"/>
    <n v="11510"/>
    <n v="4"/>
    <x v="0"/>
    <n v="11"/>
    <s v="No"/>
    <n v="0"/>
  </r>
  <r>
    <n v="462"/>
    <n v="31"/>
    <x v="0"/>
    <x v="1"/>
    <x v="3"/>
    <n v="7143"/>
    <n v="4"/>
    <x v="0"/>
    <n v="11"/>
    <s v="No"/>
    <n v="0"/>
  </r>
  <r>
    <n v="463"/>
    <n v="29"/>
    <x v="0"/>
    <x v="0"/>
    <x v="0"/>
    <n v="8268"/>
    <n v="2"/>
    <x v="0"/>
    <n v="7"/>
    <s v="No"/>
    <n v="0"/>
  </r>
  <r>
    <n v="464"/>
    <n v="35"/>
    <x v="1"/>
    <x v="1"/>
    <x v="3"/>
    <n v="8095"/>
    <n v="2"/>
    <x v="1"/>
    <n v="16"/>
    <s v="No"/>
    <n v="0"/>
  </r>
  <r>
    <n v="465"/>
    <n v="23"/>
    <x v="1"/>
    <x v="1"/>
    <x v="1"/>
    <n v="2904"/>
    <n v="4"/>
    <x v="1"/>
    <n v="4"/>
    <s v="No"/>
    <n v="0"/>
  </r>
  <r>
    <n v="466"/>
    <n v="41"/>
    <x v="1"/>
    <x v="1"/>
    <x v="3"/>
    <n v="6032"/>
    <n v="2"/>
    <x v="0"/>
    <n v="5"/>
    <s v="No"/>
    <n v="0"/>
  </r>
  <r>
    <n v="467"/>
    <n v="47"/>
    <x v="1"/>
    <x v="0"/>
    <x v="6"/>
    <n v="2976"/>
    <n v="3"/>
    <x v="1"/>
    <n v="0"/>
    <s v="No"/>
    <n v="0"/>
  </r>
  <r>
    <n v="468"/>
    <n v="42"/>
    <x v="0"/>
    <x v="1"/>
    <x v="7"/>
    <n v="15992"/>
    <n v="4"/>
    <x v="1"/>
    <n v="1"/>
    <s v="No"/>
    <n v="0"/>
  </r>
  <r>
    <n v="469"/>
    <n v="29"/>
    <x v="1"/>
    <x v="0"/>
    <x v="0"/>
    <n v="4649"/>
    <n v="3"/>
    <x v="1"/>
    <n v="4"/>
    <s v="No"/>
    <n v="0"/>
  </r>
  <r>
    <n v="470"/>
    <n v="42"/>
    <x v="1"/>
    <x v="2"/>
    <x v="8"/>
    <n v="2696"/>
    <n v="3"/>
    <x v="0"/>
    <n v="3"/>
    <s v="No"/>
    <n v="0"/>
  </r>
  <r>
    <n v="471"/>
    <n v="32"/>
    <x v="0"/>
    <x v="1"/>
    <x v="2"/>
    <n v="2370"/>
    <n v="2"/>
    <x v="1"/>
    <n v="8"/>
    <s v="No"/>
    <n v="0"/>
  </r>
  <r>
    <n v="473"/>
    <n v="48"/>
    <x v="0"/>
    <x v="0"/>
    <x v="5"/>
    <n v="12504"/>
    <n v="3"/>
    <x v="1"/>
    <n v="0"/>
    <s v="No"/>
    <n v="0"/>
  </r>
  <r>
    <n v="474"/>
    <n v="37"/>
    <x v="1"/>
    <x v="1"/>
    <x v="1"/>
    <n v="5974"/>
    <n v="1"/>
    <x v="0"/>
    <n v="7"/>
    <s v="No"/>
    <n v="0"/>
  </r>
  <r>
    <n v="475"/>
    <n v="30"/>
    <x v="0"/>
    <x v="0"/>
    <x v="0"/>
    <n v="4736"/>
    <n v="3"/>
    <x v="0"/>
    <n v="2"/>
    <s v="No"/>
    <n v="0"/>
  </r>
  <r>
    <n v="476"/>
    <n v="26"/>
    <x v="1"/>
    <x v="0"/>
    <x v="0"/>
    <n v="5296"/>
    <n v="3"/>
    <x v="1"/>
    <n v="8"/>
    <s v="No"/>
    <n v="0"/>
  </r>
  <r>
    <n v="477"/>
    <n v="42"/>
    <x v="1"/>
    <x v="1"/>
    <x v="4"/>
    <n v="6781"/>
    <n v="4"/>
    <x v="1"/>
    <n v="1"/>
    <s v="No"/>
    <n v="0"/>
  </r>
  <r>
    <n v="478"/>
    <n v="21"/>
    <x v="0"/>
    <x v="0"/>
    <x v="6"/>
    <n v="2174"/>
    <n v="2"/>
    <x v="0"/>
    <n v="3"/>
    <s v="Yes"/>
    <n v="1"/>
  </r>
  <r>
    <n v="479"/>
    <n v="36"/>
    <x v="0"/>
    <x v="0"/>
    <x v="0"/>
    <n v="6653"/>
    <n v="4"/>
    <x v="1"/>
    <n v="1"/>
    <s v="No"/>
    <n v="0"/>
  </r>
  <r>
    <n v="481"/>
    <n v="36"/>
    <x v="1"/>
    <x v="0"/>
    <x v="0"/>
    <n v="9699"/>
    <n v="4"/>
    <x v="1"/>
    <n v="13"/>
    <s v="No"/>
    <n v="0"/>
  </r>
  <r>
    <n v="482"/>
    <n v="57"/>
    <x v="1"/>
    <x v="1"/>
    <x v="4"/>
    <n v="6755"/>
    <n v="3"/>
    <x v="1"/>
    <n v="3"/>
    <s v="No"/>
    <n v="0"/>
  </r>
  <r>
    <n v="483"/>
    <n v="40"/>
    <x v="0"/>
    <x v="1"/>
    <x v="2"/>
    <n v="2213"/>
    <n v="3"/>
    <x v="0"/>
    <n v="7"/>
    <s v="No"/>
    <n v="0"/>
  </r>
  <r>
    <n v="484"/>
    <n v="21"/>
    <x v="1"/>
    <x v="0"/>
    <x v="6"/>
    <n v="2610"/>
    <n v="4"/>
    <x v="1"/>
    <n v="3"/>
    <s v="No"/>
    <n v="0"/>
  </r>
  <r>
    <n v="485"/>
    <n v="33"/>
    <x v="0"/>
    <x v="0"/>
    <x v="6"/>
    <n v="2851"/>
    <n v="3"/>
    <x v="0"/>
    <n v="1"/>
    <s v="Yes"/>
    <n v="1"/>
  </r>
  <r>
    <n v="486"/>
    <n v="37"/>
    <x v="0"/>
    <x v="1"/>
    <x v="2"/>
    <n v="3452"/>
    <n v="1"/>
    <x v="1"/>
    <n v="5"/>
    <s v="No"/>
    <n v="0"/>
  </r>
  <r>
    <n v="487"/>
    <n v="46"/>
    <x v="0"/>
    <x v="1"/>
    <x v="3"/>
    <n v="5258"/>
    <n v="3"/>
    <x v="1"/>
    <n v="1"/>
    <s v="No"/>
    <n v="0"/>
  </r>
  <r>
    <n v="488"/>
    <n v="41"/>
    <x v="1"/>
    <x v="0"/>
    <x v="0"/>
    <n v="9355"/>
    <n v="2"/>
    <x v="1"/>
    <n v="8"/>
    <s v="Yes"/>
    <n v="1"/>
  </r>
  <r>
    <n v="491"/>
    <n v="50"/>
    <x v="1"/>
    <x v="1"/>
    <x v="4"/>
    <n v="10496"/>
    <n v="4"/>
    <x v="1"/>
    <n v="4"/>
    <s v="No"/>
    <n v="0"/>
  </r>
  <r>
    <n v="492"/>
    <n v="40"/>
    <x v="1"/>
    <x v="0"/>
    <x v="0"/>
    <n v="6380"/>
    <n v="3"/>
    <x v="0"/>
    <n v="6"/>
    <s v="Yes"/>
    <n v="1"/>
  </r>
  <r>
    <n v="493"/>
    <n v="31"/>
    <x v="1"/>
    <x v="1"/>
    <x v="1"/>
    <n v="2657"/>
    <n v="2"/>
    <x v="0"/>
    <n v="2"/>
    <s v="No"/>
    <n v="0"/>
  </r>
  <r>
    <n v="494"/>
    <n v="21"/>
    <x v="0"/>
    <x v="0"/>
    <x v="6"/>
    <n v="2716"/>
    <n v="2"/>
    <x v="1"/>
    <n v="1"/>
    <s v="Yes"/>
    <n v="1"/>
  </r>
  <r>
    <n v="495"/>
    <n v="29"/>
    <x v="1"/>
    <x v="1"/>
    <x v="1"/>
    <n v="2201"/>
    <n v="4"/>
    <x v="1"/>
    <n v="3"/>
    <s v="No"/>
    <n v="0"/>
  </r>
  <r>
    <n v="496"/>
    <n v="35"/>
    <x v="1"/>
    <x v="1"/>
    <x v="4"/>
    <n v="6540"/>
    <n v="2"/>
    <x v="1"/>
    <n v="1"/>
    <s v="No"/>
    <n v="0"/>
  </r>
  <r>
    <n v="497"/>
    <n v="27"/>
    <x v="1"/>
    <x v="1"/>
    <x v="2"/>
    <n v="3816"/>
    <n v="2"/>
    <x v="1"/>
    <n v="5"/>
    <s v="No"/>
    <n v="0"/>
  </r>
  <r>
    <n v="498"/>
    <n v="28"/>
    <x v="1"/>
    <x v="0"/>
    <x v="0"/>
    <n v="5253"/>
    <n v="4"/>
    <x v="1"/>
    <n v="7"/>
    <s v="No"/>
    <n v="0"/>
  </r>
  <r>
    <n v="499"/>
    <n v="49"/>
    <x v="1"/>
    <x v="1"/>
    <x v="4"/>
    <n v="10965"/>
    <n v="3"/>
    <x v="1"/>
    <n v="5"/>
    <s v="No"/>
    <n v="0"/>
  </r>
  <r>
    <n v="500"/>
    <n v="51"/>
    <x v="0"/>
    <x v="0"/>
    <x v="0"/>
    <n v="4936"/>
    <n v="4"/>
    <x v="1"/>
    <n v="7"/>
    <s v="No"/>
    <n v="0"/>
  </r>
  <r>
    <n v="501"/>
    <n v="36"/>
    <x v="0"/>
    <x v="1"/>
    <x v="1"/>
    <n v="2543"/>
    <n v="3"/>
    <x v="1"/>
    <n v="2"/>
    <s v="No"/>
    <n v="0"/>
  </r>
  <r>
    <n v="502"/>
    <n v="34"/>
    <x v="1"/>
    <x v="0"/>
    <x v="0"/>
    <n v="5304"/>
    <n v="4"/>
    <x v="0"/>
    <n v="5"/>
    <s v="Yes"/>
    <n v="1"/>
  </r>
  <r>
    <n v="505"/>
    <n v="55"/>
    <x v="0"/>
    <x v="1"/>
    <x v="5"/>
    <n v="16659"/>
    <n v="4"/>
    <x v="0"/>
    <n v="5"/>
    <s v="No"/>
    <n v="0"/>
  </r>
  <r>
    <n v="507"/>
    <n v="24"/>
    <x v="0"/>
    <x v="0"/>
    <x v="0"/>
    <n v="4260"/>
    <n v="3"/>
    <x v="0"/>
    <n v="5"/>
    <s v="No"/>
    <n v="0"/>
  </r>
  <r>
    <n v="508"/>
    <n v="30"/>
    <x v="1"/>
    <x v="0"/>
    <x v="6"/>
    <n v="2476"/>
    <n v="2"/>
    <x v="1"/>
    <n v="1"/>
    <s v="No"/>
    <n v="0"/>
  </r>
  <r>
    <n v="510"/>
    <n v="26"/>
    <x v="1"/>
    <x v="1"/>
    <x v="1"/>
    <n v="3102"/>
    <n v="1"/>
    <x v="1"/>
    <n v="6"/>
    <s v="Yes"/>
    <n v="1"/>
  </r>
  <r>
    <n v="511"/>
    <n v="22"/>
    <x v="0"/>
    <x v="1"/>
    <x v="1"/>
    <n v="2244"/>
    <n v="2"/>
    <x v="1"/>
    <n v="2"/>
    <s v="No"/>
    <n v="0"/>
  </r>
  <r>
    <n v="513"/>
    <n v="36"/>
    <x v="1"/>
    <x v="0"/>
    <x v="0"/>
    <n v="7596"/>
    <n v="3"/>
    <x v="1"/>
    <n v="10"/>
    <s v="No"/>
    <n v="0"/>
  </r>
  <r>
    <n v="514"/>
    <n v="30"/>
    <x v="1"/>
    <x v="1"/>
    <x v="1"/>
    <n v="2285"/>
    <n v="4"/>
    <x v="0"/>
    <n v="1"/>
    <s v="Yes"/>
    <n v="1"/>
  </r>
  <r>
    <n v="515"/>
    <n v="37"/>
    <x v="0"/>
    <x v="1"/>
    <x v="2"/>
    <n v="3034"/>
    <n v="1"/>
    <x v="1"/>
    <n v="18"/>
    <s v="No"/>
    <n v="0"/>
  </r>
  <r>
    <n v="516"/>
    <n v="40"/>
    <x v="0"/>
    <x v="0"/>
    <x v="0"/>
    <n v="5715"/>
    <n v="2"/>
    <x v="1"/>
    <n v="5"/>
    <s v="No"/>
    <n v="0"/>
  </r>
  <r>
    <n v="517"/>
    <n v="42"/>
    <x v="0"/>
    <x v="1"/>
    <x v="2"/>
    <n v="2576"/>
    <n v="1"/>
    <x v="1"/>
    <n v="5"/>
    <s v="No"/>
    <n v="0"/>
  </r>
  <r>
    <n v="518"/>
    <n v="37"/>
    <x v="1"/>
    <x v="1"/>
    <x v="3"/>
    <n v="4197"/>
    <n v="2"/>
    <x v="0"/>
    <n v="1"/>
    <s v="No"/>
    <n v="0"/>
  </r>
  <r>
    <n v="520"/>
    <n v="43"/>
    <x v="1"/>
    <x v="1"/>
    <x v="7"/>
    <n v="14336"/>
    <n v="2"/>
    <x v="1"/>
    <n v="25"/>
    <s v="No"/>
    <n v="0"/>
  </r>
  <r>
    <n v="521"/>
    <n v="40"/>
    <x v="0"/>
    <x v="1"/>
    <x v="2"/>
    <n v="3448"/>
    <n v="3"/>
    <x v="1"/>
    <n v="1"/>
    <s v="No"/>
    <n v="0"/>
  </r>
  <r>
    <n v="522"/>
    <n v="54"/>
    <x v="1"/>
    <x v="1"/>
    <x v="7"/>
    <n v="19406"/>
    <n v="1"/>
    <x v="1"/>
    <n v="4"/>
    <s v="No"/>
    <n v="0"/>
  </r>
  <r>
    <n v="523"/>
    <n v="34"/>
    <x v="0"/>
    <x v="0"/>
    <x v="0"/>
    <n v="6538"/>
    <n v="3"/>
    <x v="1"/>
    <n v="3"/>
    <s v="No"/>
    <n v="0"/>
  </r>
  <r>
    <n v="524"/>
    <n v="31"/>
    <x v="0"/>
    <x v="1"/>
    <x v="3"/>
    <n v="4306"/>
    <n v="1"/>
    <x v="1"/>
    <n v="13"/>
    <s v="No"/>
    <n v="0"/>
  </r>
  <r>
    <n v="525"/>
    <n v="43"/>
    <x v="1"/>
    <x v="1"/>
    <x v="2"/>
    <n v="2258"/>
    <n v="4"/>
    <x v="1"/>
    <n v="3"/>
    <s v="No"/>
    <n v="0"/>
  </r>
  <r>
    <n v="526"/>
    <n v="43"/>
    <x v="0"/>
    <x v="1"/>
    <x v="4"/>
    <n v="4522"/>
    <n v="3"/>
    <x v="0"/>
    <n v="5"/>
    <s v="No"/>
    <n v="0"/>
  </r>
  <r>
    <n v="527"/>
    <n v="25"/>
    <x v="0"/>
    <x v="0"/>
    <x v="0"/>
    <n v="4487"/>
    <n v="4"/>
    <x v="0"/>
    <n v="5"/>
    <s v="No"/>
    <n v="0"/>
  </r>
  <r>
    <n v="529"/>
    <n v="37"/>
    <x v="0"/>
    <x v="1"/>
    <x v="1"/>
    <n v="4449"/>
    <n v="3"/>
    <x v="0"/>
    <n v="13"/>
    <s v="No"/>
    <n v="0"/>
  </r>
  <r>
    <n v="530"/>
    <n v="31"/>
    <x v="1"/>
    <x v="1"/>
    <x v="2"/>
    <n v="2218"/>
    <n v="1"/>
    <x v="1"/>
    <n v="4"/>
    <s v="No"/>
    <n v="0"/>
  </r>
  <r>
    <n v="531"/>
    <n v="39"/>
    <x v="1"/>
    <x v="1"/>
    <x v="5"/>
    <n v="19197"/>
    <n v="3"/>
    <x v="0"/>
    <n v="21"/>
    <s v="No"/>
    <n v="0"/>
  </r>
  <r>
    <n v="532"/>
    <n v="56"/>
    <x v="0"/>
    <x v="0"/>
    <x v="0"/>
    <n v="13212"/>
    <n v="1"/>
    <x v="1"/>
    <n v="7"/>
    <s v="No"/>
    <n v="0"/>
  </r>
  <r>
    <n v="533"/>
    <n v="30"/>
    <x v="0"/>
    <x v="0"/>
    <x v="0"/>
    <n v="6577"/>
    <n v="3"/>
    <x v="1"/>
    <n v="5"/>
    <s v="No"/>
    <n v="0"/>
  </r>
  <r>
    <n v="534"/>
    <n v="41"/>
    <x v="1"/>
    <x v="0"/>
    <x v="0"/>
    <n v="8392"/>
    <n v="1"/>
    <x v="1"/>
    <n v="10"/>
    <s v="No"/>
    <n v="0"/>
  </r>
  <r>
    <n v="536"/>
    <n v="28"/>
    <x v="1"/>
    <x v="1"/>
    <x v="2"/>
    <n v="4558"/>
    <n v="1"/>
    <x v="1"/>
    <n v="10"/>
    <s v="No"/>
    <n v="0"/>
  </r>
  <r>
    <n v="538"/>
    <n v="25"/>
    <x v="1"/>
    <x v="1"/>
    <x v="2"/>
    <n v="4031"/>
    <n v="1"/>
    <x v="1"/>
    <n v="2"/>
    <s v="Yes"/>
    <n v="1"/>
  </r>
  <r>
    <n v="543"/>
    <n v="52"/>
    <x v="1"/>
    <x v="1"/>
    <x v="3"/>
    <n v="7969"/>
    <n v="3"/>
    <x v="0"/>
    <n v="5"/>
    <s v="No"/>
    <n v="0"/>
  </r>
  <r>
    <n v="544"/>
    <n v="45"/>
    <x v="1"/>
    <x v="1"/>
    <x v="1"/>
    <n v="2654"/>
    <n v="4"/>
    <x v="1"/>
    <n v="2"/>
    <s v="No"/>
    <n v="0"/>
  </r>
  <r>
    <n v="546"/>
    <n v="52"/>
    <x v="0"/>
    <x v="1"/>
    <x v="5"/>
    <n v="16555"/>
    <n v="4"/>
    <x v="1"/>
    <n v="5"/>
    <s v="No"/>
    <n v="0"/>
  </r>
  <r>
    <n v="547"/>
    <n v="42"/>
    <x v="0"/>
    <x v="1"/>
    <x v="1"/>
    <n v="4556"/>
    <n v="3"/>
    <x v="1"/>
    <n v="5"/>
    <s v="No"/>
    <n v="0"/>
  </r>
  <r>
    <n v="548"/>
    <n v="30"/>
    <x v="0"/>
    <x v="1"/>
    <x v="3"/>
    <n v="6091"/>
    <n v="4"/>
    <x v="1"/>
    <n v="5"/>
    <s v="No"/>
    <n v="0"/>
  </r>
  <r>
    <n v="549"/>
    <n v="60"/>
    <x v="0"/>
    <x v="1"/>
    <x v="5"/>
    <n v="19566"/>
    <n v="1"/>
    <x v="1"/>
    <n v="29"/>
    <s v="No"/>
    <n v="0"/>
  </r>
  <r>
    <n v="550"/>
    <n v="46"/>
    <x v="0"/>
    <x v="1"/>
    <x v="3"/>
    <n v="4810"/>
    <n v="3"/>
    <x v="1"/>
    <n v="10"/>
    <s v="No"/>
    <n v="0"/>
  </r>
  <r>
    <n v="551"/>
    <n v="42"/>
    <x v="0"/>
    <x v="1"/>
    <x v="4"/>
    <n v="4523"/>
    <n v="4"/>
    <x v="1"/>
    <n v="6"/>
    <s v="No"/>
    <n v="0"/>
  </r>
  <r>
    <n v="554"/>
    <n v="24"/>
    <x v="0"/>
    <x v="0"/>
    <x v="6"/>
    <n v="3202"/>
    <n v="2"/>
    <x v="0"/>
    <n v="5"/>
    <s v="Yes"/>
    <n v="1"/>
  </r>
  <r>
    <n v="555"/>
    <n v="34"/>
    <x v="0"/>
    <x v="0"/>
    <x v="6"/>
    <n v="2351"/>
    <n v="3"/>
    <x v="1"/>
    <n v="2"/>
    <s v="Yes"/>
    <n v="1"/>
  </r>
  <r>
    <n v="556"/>
    <n v="38"/>
    <x v="1"/>
    <x v="1"/>
    <x v="2"/>
    <n v="1702"/>
    <n v="4"/>
    <x v="0"/>
    <n v="1"/>
    <s v="No"/>
    <n v="0"/>
  </r>
  <r>
    <n v="558"/>
    <n v="40"/>
    <x v="0"/>
    <x v="0"/>
    <x v="5"/>
    <n v="18041"/>
    <n v="3"/>
    <x v="1"/>
    <n v="20"/>
    <s v="No"/>
    <n v="0"/>
  </r>
  <r>
    <n v="560"/>
    <n v="26"/>
    <x v="0"/>
    <x v="1"/>
    <x v="1"/>
    <n v="2886"/>
    <n v="4"/>
    <x v="1"/>
    <n v="3"/>
    <s v="No"/>
    <n v="0"/>
  </r>
  <r>
    <n v="562"/>
    <n v="30"/>
    <x v="1"/>
    <x v="1"/>
    <x v="2"/>
    <n v="2097"/>
    <n v="4"/>
    <x v="1"/>
    <n v="5"/>
    <s v="No"/>
    <n v="0"/>
  </r>
  <r>
    <n v="564"/>
    <n v="29"/>
    <x v="1"/>
    <x v="1"/>
    <x v="7"/>
    <n v="11935"/>
    <n v="3"/>
    <x v="1"/>
    <n v="10"/>
    <s v="No"/>
    <n v="0"/>
  </r>
  <r>
    <n v="565"/>
    <n v="29"/>
    <x v="0"/>
    <x v="1"/>
    <x v="1"/>
    <n v="2546"/>
    <n v="2"/>
    <x v="1"/>
    <n v="2"/>
    <s v="Yes"/>
    <n v="1"/>
  </r>
  <r>
    <n v="566"/>
    <n v="19"/>
    <x v="1"/>
    <x v="2"/>
    <x v="8"/>
    <n v="2564"/>
    <n v="4"/>
    <x v="1"/>
    <n v="1"/>
    <s v="Yes"/>
    <n v="1"/>
  </r>
  <r>
    <n v="567"/>
    <n v="30"/>
    <x v="0"/>
    <x v="0"/>
    <x v="0"/>
    <n v="8412"/>
    <n v="1"/>
    <x v="1"/>
    <n v="9"/>
    <s v="No"/>
    <n v="0"/>
  </r>
  <r>
    <n v="568"/>
    <n v="57"/>
    <x v="1"/>
    <x v="0"/>
    <x v="5"/>
    <n v="14118"/>
    <n v="4"/>
    <x v="1"/>
    <n v="1"/>
    <s v="No"/>
    <n v="0"/>
  </r>
  <r>
    <n v="569"/>
    <n v="50"/>
    <x v="1"/>
    <x v="1"/>
    <x v="5"/>
    <n v="17046"/>
    <n v="3"/>
    <x v="1"/>
    <n v="27"/>
    <s v="No"/>
    <n v="0"/>
  </r>
  <r>
    <n v="571"/>
    <n v="30"/>
    <x v="0"/>
    <x v="1"/>
    <x v="2"/>
    <n v="2564"/>
    <n v="4"/>
    <x v="1"/>
    <n v="11"/>
    <s v="No"/>
    <n v="0"/>
  </r>
  <r>
    <n v="573"/>
    <n v="60"/>
    <x v="0"/>
    <x v="0"/>
    <x v="0"/>
    <n v="10266"/>
    <n v="1"/>
    <x v="1"/>
    <n v="18"/>
    <s v="No"/>
    <n v="0"/>
  </r>
  <r>
    <n v="574"/>
    <n v="47"/>
    <x v="0"/>
    <x v="1"/>
    <x v="3"/>
    <n v="5070"/>
    <n v="4"/>
    <x v="1"/>
    <n v="5"/>
    <s v="No"/>
    <n v="0"/>
  </r>
  <r>
    <n v="575"/>
    <n v="46"/>
    <x v="1"/>
    <x v="1"/>
    <x v="7"/>
    <n v="17861"/>
    <n v="3"/>
    <x v="1"/>
    <n v="3"/>
    <s v="No"/>
    <n v="0"/>
  </r>
  <r>
    <n v="577"/>
    <n v="35"/>
    <x v="1"/>
    <x v="1"/>
    <x v="2"/>
    <n v="4230"/>
    <n v="3"/>
    <x v="1"/>
    <n v="5"/>
    <s v="No"/>
    <n v="0"/>
  </r>
  <r>
    <n v="578"/>
    <n v="54"/>
    <x v="0"/>
    <x v="1"/>
    <x v="2"/>
    <n v="3780"/>
    <n v="3"/>
    <x v="1"/>
    <n v="1"/>
    <s v="No"/>
    <n v="0"/>
  </r>
  <r>
    <n v="579"/>
    <n v="34"/>
    <x v="1"/>
    <x v="1"/>
    <x v="1"/>
    <n v="2768"/>
    <n v="3"/>
    <x v="1"/>
    <n v="7"/>
    <s v="No"/>
    <n v="0"/>
  </r>
  <r>
    <n v="580"/>
    <n v="46"/>
    <x v="0"/>
    <x v="0"/>
    <x v="0"/>
    <n v="9071"/>
    <n v="4"/>
    <x v="0"/>
    <n v="3"/>
    <s v="No"/>
    <n v="0"/>
  </r>
  <r>
    <n v="581"/>
    <n v="31"/>
    <x v="1"/>
    <x v="1"/>
    <x v="3"/>
    <n v="10648"/>
    <n v="2"/>
    <x v="1"/>
    <n v="13"/>
    <s v="No"/>
    <n v="0"/>
  </r>
  <r>
    <n v="582"/>
    <n v="33"/>
    <x v="1"/>
    <x v="1"/>
    <x v="5"/>
    <n v="13610"/>
    <n v="3"/>
    <x v="0"/>
    <n v="7"/>
    <s v="Yes"/>
    <n v="1"/>
  </r>
  <r>
    <n v="584"/>
    <n v="33"/>
    <x v="1"/>
    <x v="1"/>
    <x v="2"/>
    <n v="3408"/>
    <n v="4"/>
    <x v="1"/>
    <n v="4"/>
    <s v="Yes"/>
    <n v="1"/>
  </r>
  <r>
    <n v="585"/>
    <n v="30"/>
    <x v="1"/>
    <x v="0"/>
    <x v="6"/>
    <n v="2983"/>
    <n v="2"/>
    <x v="1"/>
    <n v="3"/>
    <s v="No"/>
    <n v="0"/>
  </r>
  <r>
    <n v="586"/>
    <n v="35"/>
    <x v="1"/>
    <x v="1"/>
    <x v="4"/>
    <n v="7632"/>
    <n v="3"/>
    <x v="0"/>
    <n v="8"/>
    <s v="No"/>
    <n v="0"/>
  </r>
  <r>
    <n v="587"/>
    <n v="31"/>
    <x v="1"/>
    <x v="1"/>
    <x v="4"/>
    <n v="9824"/>
    <n v="3"/>
    <x v="1"/>
    <n v="1"/>
    <s v="Yes"/>
    <n v="1"/>
  </r>
  <r>
    <n v="590"/>
    <n v="34"/>
    <x v="0"/>
    <x v="2"/>
    <x v="8"/>
    <n v="9950"/>
    <n v="1"/>
    <x v="0"/>
    <n v="3"/>
    <s v="Yes"/>
    <n v="1"/>
  </r>
  <r>
    <n v="591"/>
    <n v="42"/>
    <x v="1"/>
    <x v="1"/>
    <x v="2"/>
    <n v="2093"/>
    <n v="3"/>
    <x v="1"/>
    <n v="2"/>
    <s v="No"/>
    <n v="0"/>
  </r>
  <r>
    <n v="592"/>
    <n v="36"/>
    <x v="1"/>
    <x v="0"/>
    <x v="0"/>
    <n v="9980"/>
    <n v="4"/>
    <x v="1"/>
    <n v="10"/>
    <s v="No"/>
    <n v="0"/>
  </r>
  <r>
    <n v="593"/>
    <n v="22"/>
    <x v="1"/>
    <x v="1"/>
    <x v="2"/>
    <n v="3894"/>
    <n v="3"/>
    <x v="1"/>
    <n v="2"/>
    <s v="Yes"/>
    <n v="1"/>
  </r>
  <r>
    <n v="595"/>
    <n v="48"/>
    <x v="0"/>
    <x v="0"/>
    <x v="0"/>
    <n v="4051"/>
    <n v="4"/>
    <x v="1"/>
    <n v="9"/>
    <s v="No"/>
    <n v="0"/>
  </r>
  <r>
    <n v="597"/>
    <n v="55"/>
    <x v="0"/>
    <x v="0"/>
    <x v="5"/>
    <n v="16835"/>
    <n v="2"/>
    <x v="1"/>
    <n v="10"/>
    <s v="No"/>
    <n v="0"/>
  </r>
  <r>
    <n v="599"/>
    <n v="41"/>
    <x v="1"/>
    <x v="0"/>
    <x v="0"/>
    <n v="6230"/>
    <n v="4"/>
    <x v="1"/>
    <n v="14"/>
    <s v="No"/>
    <n v="0"/>
  </r>
  <r>
    <n v="600"/>
    <n v="35"/>
    <x v="1"/>
    <x v="0"/>
    <x v="0"/>
    <n v="4717"/>
    <n v="3"/>
    <x v="1"/>
    <n v="11"/>
    <s v="No"/>
    <n v="0"/>
  </r>
  <r>
    <n v="601"/>
    <n v="40"/>
    <x v="0"/>
    <x v="1"/>
    <x v="3"/>
    <n v="13237"/>
    <n v="3"/>
    <x v="1"/>
    <n v="20"/>
    <s v="No"/>
    <n v="0"/>
  </r>
  <r>
    <n v="602"/>
    <n v="39"/>
    <x v="0"/>
    <x v="1"/>
    <x v="2"/>
    <n v="3755"/>
    <n v="3"/>
    <x v="1"/>
    <n v="8"/>
    <s v="No"/>
    <n v="0"/>
  </r>
  <r>
    <n v="604"/>
    <n v="31"/>
    <x v="1"/>
    <x v="0"/>
    <x v="0"/>
    <n v="6582"/>
    <n v="4"/>
    <x v="0"/>
    <n v="6"/>
    <s v="No"/>
    <n v="0"/>
  </r>
  <r>
    <n v="605"/>
    <n v="42"/>
    <x v="1"/>
    <x v="1"/>
    <x v="3"/>
    <n v="7406"/>
    <n v="1"/>
    <x v="0"/>
    <n v="10"/>
    <s v="No"/>
    <n v="0"/>
  </r>
  <r>
    <n v="606"/>
    <n v="45"/>
    <x v="1"/>
    <x v="0"/>
    <x v="0"/>
    <n v="4805"/>
    <n v="2"/>
    <x v="1"/>
    <n v="8"/>
    <s v="No"/>
    <n v="0"/>
  </r>
  <r>
    <n v="608"/>
    <n v="26"/>
    <x v="0"/>
    <x v="2"/>
    <x v="8"/>
    <n v="2741"/>
    <n v="3"/>
    <x v="0"/>
    <n v="7"/>
    <s v="Yes"/>
    <n v="1"/>
  </r>
  <r>
    <n v="611"/>
    <n v="29"/>
    <x v="1"/>
    <x v="1"/>
    <x v="3"/>
    <n v="4262"/>
    <n v="4"/>
    <x v="1"/>
    <n v="3"/>
    <s v="No"/>
    <n v="0"/>
  </r>
  <r>
    <n v="612"/>
    <n v="33"/>
    <x v="0"/>
    <x v="1"/>
    <x v="7"/>
    <n v="16184"/>
    <n v="3"/>
    <x v="1"/>
    <n v="6"/>
    <s v="No"/>
    <n v="0"/>
  </r>
  <r>
    <n v="613"/>
    <n v="31"/>
    <x v="1"/>
    <x v="0"/>
    <x v="5"/>
    <n v="11557"/>
    <n v="4"/>
    <x v="1"/>
    <n v="5"/>
    <s v="No"/>
    <n v="0"/>
  </r>
  <r>
    <n v="614"/>
    <n v="18"/>
    <x v="1"/>
    <x v="0"/>
    <x v="6"/>
    <n v="1878"/>
    <n v="2"/>
    <x v="0"/>
    <n v="0"/>
    <s v="Yes"/>
    <n v="1"/>
  </r>
  <r>
    <n v="615"/>
    <n v="40"/>
    <x v="1"/>
    <x v="0"/>
    <x v="0"/>
    <n v="10932"/>
    <n v="1"/>
    <x v="1"/>
    <n v="1"/>
    <s v="No"/>
    <n v="0"/>
  </r>
  <r>
    <n v="616"/>
    <n v="41"/>
    <x v="0"/>
    <x v="1"/>
    <x v="4"/>
    <n v="6811"/>
    <n v="3"/>
    <x v="0"/>
    <n v="8"/>
    <s v="No"/>
    <n v="0"/>
  </r>
  <r>
    <n v="618"/>
    <n v="26"/>
    <x v="1"/>
    <x v="0"/>
    <x v="0"/>
    <n v="4306"/>
    <n v="3"/>
    <x v="1"/>
    <n v="0"/>
    <s v="No"/>
    <n v="0"/>
  </r>
  <r>
    <n v="620"/>
    <n v="35"/>
    <x v="0"/>
    <x v="0"/>
    <x v="0"/>
    <n v="4859"/>
    <n v="3"/>
    <x v="1"/>
    <n v="5"/>
    <s v="No"/>
    <n v="0"/>
  </r>
  <r>
    <n v="621"/>
    <n v="34"/>
    <x v="1"/>
    <x v="0"/>
    <x v="0"/>
    <n v="5337"/>
    <n v="4"/>
    <x v="1"/>
    <n v="10"/>
    <s v="No"/>
    <n v="0"/>
  </r>
  <r>
    <n v="622"/>
    <n v="26"/>
    <x v="1"/>
    <x v="1"/>
    <x v="2"/>
    <n v="2340"/>
    <n v="4"/>
    <x v="0"/>
    <n v="1"/>
    <s v="Yes"/>
    <n v="1"/>
  </r>
  <r>
    <n v="623"/>
    <n v="37"/>
    <x v="0"/>
    <x v="1"/>
    <x v="3"/>
    <n v="7491"/>
    <n v="4"/>
    <x v="1"/>
    <n v="6"/>
    <s v="No"/>
    <n v="0"/>
  </r>
  <r>
    <n v="624"/>
    <n v="46"/>
    <x v="0"/>
    <x v="1"/>
    <x v="4"/>
    <n v="10527"/>
    <n v="3"/>
    <x v="1"/>
    <n v="2"/>
    <s v="No"/>
    <n v="0"/>
  </r>
  <r>
    <n v="625"/>
    <n v="41"/>
    <x v="0"/>
    <x v="0"/>
    <x v="5"/>
    <n v="16595"/>
    <n v="1"/>
    <x v="1"/>
    <n v="18"/>
    <s v="No"/>
    <n v="0"/>
  </r>
  <r>
    <n v="626"/>
    <n v="37"/>
    <x v="1"/>
    <x v="0"/>
    <x v="0"/>
    <n v="8834"/>
    <n v="2"/>
    <x v="1"/>
    <n v="9"/>
    <s v="No"/>
    <n v="0"/>
  </r>
  <r>
    <n v="630"/>
    <n v="52"/>
    <x v="1"/>
    <x v="1"/>
    <x v="1"/>
    <n v="5577"/>
    <n v="1"/>
    <x v="0"/>
    <n v="10"/>
    <s v="No"/>
    <n v="0"/>
  </r>
  <r>
    <n v="631"/>
    <n v="32"/>
    <x v="1"/>
    <x v="0"/>
    <x v="0"/>
    <n v="4707"/>
    <n v="3"/>
    <x v="1"/>
    <n v="4"/>
    <s v="Yes"/>
    <n v="1"/>
  </r>
  <r>
    <n v="632"/>
    <n v="24"/>
    <x v="1"/>
    <x v="0"/>
    <x v="6"/>
    <n v="2400"/>
    <n v="4"/>
    <x v="1"/>
    <n v="2"/>
    <s v="No"/>
    <n v="0"/>
  </r>
  <r>
    <n v="634"/>
    <n v="38"/>
    <x v="0"/>
    <x v="1"/>
    <x v="4"/>
    <n v="9824"/>
    <n v="3"/>
    <x v="1"/>
    <n v="1"/>
    <s v="No"/>
    <n v="0"/>
  </r>
  <r>
    <n v="635"/>
    <n v="37"/>
    <x v="0"/>
    <x v="1"/>
    <x v="3"/>
    <n v="6447"/>
    <n v="2"/>
    <x v="1"/>
    <n v="6"/>
    <s v="No"/>
    <n v="0"/>
  </r>
  <r>
    <n v="638"/>
    <n v="49"/>
    <x v="1"/>
    <x v="1"/>
    <x v="7"/>
    <n v="19502"/>
    <n v="3"/>
    <x v="0"/>
    <n v="31"/>
    <s v="No"/>
    <n v="0"/>
  </r>
  <r>
    <n v="639"/>
    <n v="24"/>
    <x v="1"/>
    <x v="1"/>
    <x v="1"/>
    <n v="2725"/>
    <n v="4"/>
    <x v="0"/>
    <n v="6"/>
    <s v="No"/>
    <n v="0"/>
  </r>
  <r>
    <n v="641"/>
    <n v="26"/>
    <x v="1"/>
    <x v="0"/>
    <x v="0"/>
    <n v="6272"/>
    <n v="2"/>
    <x v="1"/>
    <n v="5"/>
    <s v="No"/>
    <n v="0"/>
  </r>
  <r>
    <n v="643"/>
    <n v="24"/>
    <x v="1"/>
    <x v="1"/>
    <x v="2"/>
    <n v="2127"/>
    <n v="2"/>
    <x v="1"/>
    <n v="1"/>
    <s v="No"/>
    <n v="0"/>
  </r>
  <r>
    <n v="644"/>
    <n v="50"/>
    <x v="1"/>
    <x v="2"/>
    <x v="5"/>
    <n v="18200"/>
    <n v="2"/>
    <x v="1"/>
    <n v="32"/>
    <s v="No"/>
    <n v="0"/>
  </r>
  <r>
    <n v="645"/>
    <n v="25"/>
    <x v="1"/>
    <x v="0"/>
    <x v="6"/>
    <n v="2096"/>
    <n v="3"/>
    <x v="1"/>
    <n v="7"/>
    <s v="No"/>
    <n v="0"/>
  </r>
  <r>
    <n v="647"/>
    <n v="24"/>
    <x v="0"/>
    <x v="1"/>
    <x v="2"/>
    <n v="2886"/>
    <n v="3"/>
    <x v="0"/>
    <n v="6"/>
    <s v="Yes"/>
    <n v="1"/>
  </r>
  <r>
    <n v="648"/>
    <n v="30"/>
    <x v="1"/>
    <x v="0"/>
    <x v="6"/>
    <n v="2033"/>
    <n v="1"/>
    <x v="1"/>
    <n v="1"/>
    <s v="Yes"/>
    <n v="1"/>
  </r>
  <r>
    <n v="649"/>
    <n v="34"/>
    <x v="1"/>
    <x v="1"/>
    <x v="1"/>
    <n v="3622"/>
    <n v="4"/>
    <x v="0"/>
    <n v="6"/>
    <s v="No"/>
    <n v="0"/>
  </r>
  <r>
    <n v="650"/>
    <n v="31"/>
    <x v="1"/>
    <x v="0"/>
    <x v="0"/>
    <n v="4233"/>
    <n v="1"/>
    <x v="1"/>
    <n v="3"/>
    <s v="Yes"/>
    <n v="1"/>
  </r>
  <r>
    <n v="652"/>
    <n v="35"/>
    <x v="1"/>
    <x v="1"/>
    <x v="2"/>
    <n v="3681"/>
    <n v="4"/>
    <x v="1"/>
    <n v="3"/>
    <s v="No"/>
    <n v="0"/>
  </r>
  <r>
    <n v="653"/>
    <n v="31"/>
    <x v="1"/>
    <x v="0"/>
    <x v="0"/>
    <n v="5460"/>
    <n v="4"/>
    <x v="1"/>
    <n v="7"/>
    <s v="No"/>
    <n v="0"/>
  </r>
  <r>
    <n v="655"/>
    <n v="27"/>
    <x v="0"/>
    <x v="1"/>
    <x v="1"/>
    <n v="2187"/>
    <n v="3"/>
    <x v="1"/>
    <n v="5"/>
    <s v="No"/>
    <n v="0"/>
  </r>
  <r>
    <n v="656"/>
    <n v="37"/>
    <x v="1"/>
    <x v="0"/>
    <x v="0"/>
    <n v="9602"/>
    <n v="3"/>
    <x v="0"/>
    <n v="3"/>
    <s v="No"/>
    <n v="0"/>
  </r>
  <r>
    <n v="657"/>
    <n v="20"/>
    <x v="0"/>
    <x v="1"/>
    <x v="1"/>
    <n v="2836"/>
    <n v="2"/>
    <x v="1"/>
    <n v="1"/>
    <s v="No"/>
    <n v="0"/>
  </r>
  <r>
    <n v="659"/>
    <n v="42"/>
    <x v="0"/>
    <x v="1"/>
    <x v="4"/>
    <n v="4089"/>
    <n v="4"/>
    <x v="1"/>
    <n v="10"/>
    <s v="No"/>
    <n v="0"/>
  </r>
  <r>
    <n v="661"/>
    <n v="43"/>
    <x v="1"/>
    <x v="1"/>
    <x v="7"/>
    <n v="16627"/>
    <n v="4"/>
    <x v="0"/>
    <n v="1"/>
    <s v="No"/>
    <n v="0"/>
  </r>
  <r>
    <n v="662"/>
    <n v="38"/>
    <x v="0"/>
    <x v="1"/>
    <x v="1"/>
    <n v="2619"/>
    <n v="1"/>
    <x v="1"/>
    <n v="0"/>
    <s v="No"/>
    <n v="0"/>
  </r>
  <r>
    <n v="663"/>
    <n v="43"/>
    <x v="1"/>
    <x v="1"/>
    <x v="2"/>
    <n v="5679"/>
    <n v="3"/>
    <x v="0"/>
    <n v="8"/>
    <s v="No"/>
    <n v="0"/>
  </r>
  <r>
    <n v="664"/>
    <n v="48"/>
    <x v="0"/>
    <x v="1"/>
    <x v="5"/>
    <n v="15402"/>
    <n v="1"/>
    <x v="1"/>
    <n v="3"/>
    <s v="No"/>
    <n v="0"/>
  </r>
  <r>
    <n v="665"/>
    <n v="44"/>
    <x v="0"/>
    <x v="2"/>
    <x v="8"/>
    <n v="5985"/>
    <n v="3"/>
    <x v="1"/>
    <n v="2"/>
    <s v="No"/>
    <n v="0"/>
  </r>
  <r>
    <n v="666"/>
    <n v="34"/>
    <x v="0"/>
    <x v="0"/>
    <x v="6"/>
    <n v="2579"/>
    <n v="3"/>
    <x v="0"/>
    <n v="8"/>
    <s v="No"/>
    <n v="0"/>
  </r>
  <r>
    <n v="667"/>
    <n v="27"/>
    <x v="1"/>
    <x v="0"/>
    <x v="6"/>
    <n v="3041"/>
    <n v="1"/>
    <x v="1"/>
    <n v="4"/>
    <s v="Yes"/>
    <n v="1"/>
  </r>
  <r>
    <n v="669"/>
    <n v="21"/>
    <x v="1"/>
    <x v="0"/>
    <x v="6"/>
    <n v="3447"/>
    <n v="3"/>
    <x v="1"/>
    <n v="3"/>
    <s v="No"/>
    <n v="0"/>
  </r>
  <r>
    <n v="671"/>
    <n v="44"/>
    <x v="1"/>
    <x v="1"/>
    <x v="5"/>
    <n v="19513"/>
    <n v="4"/>
    <x v="0"/>
    <n v="2"/>
    <s v="No"/>
    <n v="0"/>
  </r>
  <r>
    <n v="675"/>
    <n v="22"/>
    <x v="1"/>
    <x v="1"/>
    <x v="1"/>
    <n v="2773"/>
    <n v="3"/>
    <x v="0"/>
    <n v="2"/>
    <s v="No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E6623-2053-4975-AFD8-ADE446A7B131}" name="PivotTable4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:E4" firstHeaderRow="1" firstDataRow="1" firstDataCol="1"/>
  <pivotFields count="11"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mployeeNumber" fld="0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396BE-38AA-4692-8C97-3F6154064838}" name="PivotTable3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22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MonthlyIncome" fld="5" subtotal="average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B0555-4C4F-4D65-8314-EDEB313AE3AE}" name="PivotTable2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7:B10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AttritionFlag" fld="10" subtotal="average" baseField="0" baseItem="0" numFmtId="10"/>
  </dataFields>
  <formats count="1">
    <format dxfId="2">
      <pivotArea outline="0" collapsedLevelsAreSubtotals="1" fieldPosition="0"/>
    </format>
  </format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B97CF-5C21-40F0-8EA4-44B4CD68189A}" name="PivotTable1" cacheId="4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5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Flag" fld="10" subtotal="average" baseField="0" baseItem="0" numFmtId="10"/>
  </dataFields>
  <formats count="2">
    <format dxfId="0">
      <pivotArea field="3" type="button" dataOnly="0" labelOnly="1" outline="0" axis="axisRow" fieldPosition="0"/>
    </format>
    <format dxfId="1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F1BB2B-5F6C-4CB3-A153-3198BB7D0803}" name="Employee" displayName="Employee" ref="A1:K500" totalsRowShown="0">
  <autoFilter ref="A1:K500" xr:uid="{CCF1BB2B-5F6C-4CB3-A153-3198BB7D0803}"/>
  <tableColumns count="11">
    <tableColumn id="1" xr3:uid="{CE234C7E-83FF-46F3-80CB-DD410051414A}" name="EmployeeNumber"/>
    <tableColumn id="2" xr3:uid="{411307E3-DF33-4CEE-9D63-65B03BFF27D2}" name="Age"/>
    <tableColumn id="3" xr3:uid="{39467B88-CE9B-4710-8B2C-5519D4E70140}" name="Gender"/>
    <tableColumn id="4" xr3:uid="{3B0BF109-A6F5-4ABA-BB61-3F1B5CDDDFB7}" name="Department"/>
    <tableColumn id="5" xr3:uid="{8A5F6A93-3229-45A5-AF6A-88E4ACED728B}" name="JobRole"/>
    <tableColumn id="6" xr3:uid="{E1EF9539-0865-482B-9613-BB99C9012ADC}" name="MonthlyIncome"/>
    <tableColumn id="7" xr3:uid="{63FBFB6E-4A85-4BBF-974D-95315548E2DB}" name="JobSatisfaction"/>
    <tableColumn id="8" xr3:uid="{B5CA37AA-2B6E-4E37-9702-F370A1DB1329}" name="OverTime"/>
    <tableColumn id="9" xr3:uid="{5994D1AA-7576-4F8E-B17B-F98FD4A0CC9C}" name="YearsAtCompany"/>
    <tableColumn id="10" xr3:uid="{D9CB73A1-0826-4431-9E43-6AB9206E5ABA}" name="Attrition"/>
    <tableColumn id="11" xr3:uid="{A2B171A2-96D0-4548-9537-435178F3A6B3}" name="AttritionFlag">
      <calculatedColumnFormula>IF($J2="Yes",1,0)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workbookViewId="0">
      <selection activeCell="B13" sqref="B13"/>
    </sheetView>
  </sheetViews>
  <sheetFormatPr defaultRowHeight="15"/>
  <cols>
    <col min="1" max="1" width="17.5703125" customWidth="1"/>
    <col min="3" max="3" width="9.5703125" customWidth="1"/>
    <col min="4" max="4" width="21.5703125" customWidth="1"/>
    <col min="5" max="5" width="21.7109375" customWidth="1"/>
    <col min="6" max="6" width="15.85546875" customWidth="1"/>
    <col min="7" max="7" width="15" customWidth="1"/>
    <col min="8" max="8" width="11" customWidth="1"/>
    <col min="9" max="9" width="16.85546875" customWidth="1"/>
    <col min="10" max="10" width="11.7109375" customWidth="1"/>
    <col min="11" max="11" width="14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41</v>
      </c>
      <c r="C2" t="s">
        <v>11</v>
      </c>
      <c r="D2" t="s">
        <v>12</v>
      </c>
      <c r="E2" t="s">
        <v>13</v>
      </c>
      <c r="F2">
        <v>5993</v>
      </c>
      <c r="G2">
        <v>4</v>
      </c>
      <c r="H2" t="s">
        <v>14</v>
      </c>
      <c r="I2">
        <v>6</v>
      </c>
      <c r="J2" t="s">
        <v>14</v>
      </c>
      <c r="K2">
        <f>IF($J2="Yes",1,0)</f>
        <v>1</v>
      </c>
    </row>
    <row r="3" spans="1:11">
      <c r="A3">
        <v>2</v>
      </c>
      <c r="B3">
        <v>49</v>
      </c>
      <c r="C3" t="s">
        <v>15</v>
      </c>
      <c r="D3" t="s">
        <v>16</v>
      </c>
      <c r="E3" t="s">
        <v>17</v>
      </c>
      <c r="F3">
        <v>5130</v>
      </c>
      <c r="G3">
        <v>2</v>
      </c>
      <c r="H3" t="s">
        <v>18</v>
      </c>
      <c r="I3">
        <v>10</v>
      </c>
      <c r="J3" t="s">
        <v>18</v>
      </c>
      <c r="K3">
        <f>IF($J3="Yes",1,0)</f>
        <v>0</v>
      </c>
    </row>
    <row r="4" spans="1:11">
      <c r="A4">
        <v>4</v>
      </c>
      <c r="B4">
        <v>37</v>
      </c>
      <c r="C4" t="s">
        <v>15</v>
      </c>
      <c r="D4" t="s">
        <v>16</v>
      </c>
      <c r="E4" t="s">
        <v>19</v>
      </c>
      <c r="F4">
        <v>2090</v>
      </c>
      <c r="G4">
        <v>3</v>
      </c>
      <c r="H4" t="s">
        <v>14</v>
      </c>
      <c r="I4">
        <v>0</v>
      </c>
      <c r="J4" t="s">
        <v>14</v>
      </c>
      <c r="K4">
        <f>IF($J4="Yes",1,0)</f>
        <v>1</v>
      </c>
    </row>
    <row r="5" spans="1:11">
      <c r="A5">
        <v>5</v>
      </c>
      <c r="B5">
        <v>33</v>
      </c>
      <c r="C5" t="s">
        <v>11</v>
      </c>
      <c r="D5" t="s">
        <v>16</v>
      </c>
      <c r="E5" t="s">
        <v>17</v>
      </c>
      <c r="F5">
        <v>2909</v>
      </c>
      <c r="G5">
        <v>3</v>
      </c>
      <c r="H5" t="s">
        <v>14</v>
      </c>
      <c r="I5">
        <v>8</v>
      </c>
      <c r="J5" t="s">
        <v>18</v>
      </c>
      <c r="K5">
        <f>IF($J5="Yes",1,0)</f>
        <v>0</v>
      </c>
    </row>
    <row r="6" spans="1:11">
      <c r="A6">
        <v>7</v>
      </c>
      <c r="B6">
        <v>27</v>
      </c>
      <c r="C6" t="s">
        <v>15</v>
      </c>
      <c r="D6" t="s">
        <v>16</v>
      </c>
      <c r="E6" t="s">
        <v>19</v>
      </c>
      <c r="F6">
        <v>3468</v>
      </c>
      <c r="G6">
        <v>2</v>
      </c>
      <c r="H6" t="s">
        <v>18</v>
      </c>
      <c r="I6">
        <v>2</v>
      </c>
      <c r="J6" t="s">
        <v>18</v>
      </c>
      <c r="K6">
        <f>IF($J6="Yes",1,0)</f>
        <v>0</v>
      </c>
    </row>
    <row r="7" spans="1:11">
      <c r="A7">
        <v>8</v>
      </c>
      <c r="B7">
        <v>32</v>
      </c>
      <c r="C7" t="s">
        <v>15</v>
      </c>
      <c r="D7" t="s">
        <v>16</v>
      </c>
      <c r="E7" t="s">
        <v>19</v>
      </c>
      <c r="F7">
        <v>3068</v>
      </c>
      <c r="G7">
        <v>4</v>
      </c>
      <c r="H7" t="s">
        <v>18</v>
      </c>
      <c r="I7">
        <v>7</v>
      </c>
      <c r="J7" t="s">
        <v>18</v>
      </c>
      <c r="K7">
        <f>IF($J7="Yes",1,0)</f>
        <v>0</v>
      </c>
    </row>
    <row r="8" spans="1:11">
      <c r="A8">
        <v>10</v>
      </c>
      <c r="B8">
        <v>59</v>
      </c>
      <c r="C8" t="s">
        <v>11</v>
      </c>
      <c r="D8" t="s">
        <v>16</v>
      </c>
      <c r="E8" t="s">
        <v>19</v>
      </c>
      <c r="F8">
        <v>2670</v>
      </c>
      <c r="G8">
        <v>1</v>
      </c>
      <c r="H8" t="s">
        <v>14</v>
      </c>
      <c r="I8">
        <v>1</v>
      </c>
      <c r="J8" t="s">
        <v>18</v>
      </c>
      <c r="K8">
        <f>IF($J8="Yes",1,0)</f>
        <v>0</v>
      </c>
    </row>
    <row r="9" spans="1:11">
      <c r="A9">
        <v>11</v>
      </c>
      <c r="B9">
        <v>30</v>
      </c>
      <c r="C9" t="s">
        <v>15</v>
      </c>
      <c r="D9" t="s">
        <v>16</v>
      </c>
      <c r="E9" t="s">
        <v>19</v>
      </c>
      <c r="F9">
        <v>2693</v>
      </c>
      <c r="G9">
        <v>3</v>
      </c>
      <c r="H9" t="s">
        <v>18</v>
      </c>
      <c r="I9">
        <v>1</v>
      </c>
      <c r="J9" t="s">
        <v>18</v>
      </c>
      <c r="K9">
        <f>IF($J9="Yes",1,0)</f>
        <v>0</v>
      </c>
    </row>
    <row r="10" spans="1:11">
      <c r="A10">
        <v>12</v>
      </c>
      <c r="B10">
        <v>38</v>
      </c>
      <c r="C10" t="s">
        <v>15</v>
      </c>
      <c r="D10" t="s">
        <v>16</v>
      </c>
      <c r="E10" t="s">
        <v>20</v>
      </c>
      <c r="F10">
        <v>9526</v>
      </c>
      <c r="G10">
        <v>3</v>
      </c>
      <c r="H10" t="s">
        <v>18</v>
      </c>
      <c r="I10">
        <v>9</v>
      </c>
      <c r="J10" t="s">
        <v>18</v>
      </c>
      <c r="K10">
        <f>IF($J10="Yes",1,0)</f>
        <v>0</v>
      </c>
    </row>
    <row r="11" spans="1:11">
      <c r="A11">
        <v>13</v>
      </c>
      <c r="B11">
        <v>36</v>
      </c>
      <c r="C11" t="s">
        <v>15</v>
      </c>
      <c r="D11" t="s">
        <v>16</v>
      </c>
      <c r="E11" t="s">
        <v>21</v>
      </c>
      <c r="F11">
        <v>5237</v>
      </c>
      <c r="G11">
        <v>3</v>
      </c>
      <c r="H11" t="s">
        <v>18</v>
      </c>
      <c r="I11">
        <v>7</v>
      </c>
      <c r="J11" t="s">
        <v>18</v>
      </c>
      <c r="K11">
        <f>IF($J11="Yes",1,0)</f>
        <v>0</v>
      </c>
    </row>
    <row r="12" spans="1:11">
      <c r="A12">
        <v>14</v>
      </c>
      <c r="B12">
        <v>35</v>
      </c>
      <c r="C12" t="s">
        <v>15</v>
      </c>
      <c r="D12" t="s">
        <v>16</v>
      </c>
      <c r="E12" t="s">
        <v>19</v>
      </c>
      <c r="F12">
        <v>2426</v>
      </c>
      <c r="G12">
        <v>2</v>
      </c>
      <c r="H12" t="s">
        <v>18</v>
      </c>
      <c r="I12">
        <v>5</v>
      </c>
      <c r="J12" t="s">
        <v>18</v>
      </c>
      <c r="K12">
        <f>IF($J12="Yes",1,0)</f>
        <v>0</v>
      </c>
    </row>
    <row r="13" spans="1:11">
      <c r="A13">
        <v>15</v>
      </c>
      <c r="B13">
        <v>29</v>
      </c>
      <c r="C13" t="s">
        <v>11</v>
      </c>
      <c r="D13" t="s">
        <v>16</v>
      </c>
      <c r="E13" t="s">
        <v>19</v>
      </c>
      <c r="F13">
        <v>4193</v>
      </c>
      <c r="G13">
        <v>3</v>
      </c>
      <c r="H13" t="s">
        <v>14</v>
      </c>
      <c r="I13">
        <v>9</v>
      </c>
      <c r="J13" t="s">
        <v>18</v>
      </c>
      <c r="K13">
        <f>IF($J13="Yes",1,0)</f>
        <v>0</v>
      </c>
    </row>
    <row r="14" spans="1:11">
      <c r="A14">
        <v>16</v>
      </c>
      <c r="B14">
        <v>31</v>
      </c>
      <c r="C14" t="s">
        <v>15</v>
      </c>
      <c r="D14" t="s">
        <v>16</v>
      </c>
      <c r="E14" t="s">
        <v>17</v>
      </c>
      <c r="F14">
        <v>2911</v>
      </c>
      <c r="G14">
        <v>3</v>
      </c>
      <c r="H14" t="s">
        <v>18</v>
      </c>
      <c r="I14">
        <v>5</v>
      </c>
      <c r="J14" t="s">
        <v>18</v>
      </c>
      <c r="K14">
        <f>IF($J14="Yes",1,0)</f>
        <v>0</v>
      </c>
    </row>
    <row r="15" spans="1:11">
      <c r="A15">
        <v>18</v>
      </c>
      <c r="B15">
        <v>34</v>
      </c>
      <c r="C15" t="s">
        <v>15</v>
      </c>
      <c r="D15" t="s">
        <v>16</v>
      </c>
      <c r="E15" t="s">
        <v>19</v>
      </c>
      <c r="F15">
        <v>2661</v>
      </c>
      <c r="G15">
        <v>4</v>
      </c>
      <c r="H15" t="s">
        <v>18</v>
      </c>
      <c r="I15">
        <v>2</v>
      </c>
      <c r="J15" t="s">
        <v>18</v>
      </c>
      <c r="K15">
        <f>IF($J15="Yes",1,0)</f>
        <v>0</v>
      </c>
    </row>
    <row r="16" spans="1:11">
      <c r="A16">
        <v>19</v>
      </c>
      <c r="B16">
        <v>28</v>
      </c>
      <c r="C16" t="s">
        <v>15</v>
      </c>
      <c r="D16" t="s">
        <v>16</v>
      </c>
      <c r="E16" t="s">
        <v>19</v>
      </c>
      <c r="F16">
        <v>2028</v>
      </c>
      <c r="G16">
        <v>3</v>
      </c>
      <c r="H16" t="s">
        <v>14</v>
      </c>
      <c r="I16">
        <v>4</v>
      </c>
      <c r="J16" t="s">
        <v>14</v>
      </c>
      <c r="K16">
        <f>IF($J16="Yes",1,0)</f>
        <v>1</v>
      </c>
    </row>
    <row r="17" spans="1:11">
      <c r="A17">
        <v>20</v>
      </c>
      <c r="B17">
        <v>29</v>
      </c>
      <c r="C17" t="s">
        <v>11</v>
      </c>
      <c r="D17" t="s">
        <v>16</v>
      </c>
      <c r="E17" t="s">
        <v>20</v>
      </c>
      <c r="F17">
        <v>9980</v>
      </c>
      <c r="G17">
        <v>1</v>
      </c>
      <c r="H17" t="s">
        <v>18</v>
      </c>
      <c r="I17">
        <v>10</v>
      </c>
      <c r="J17" t="s">
        <v>18</v>
      </c>
      <c r="K17">
        <f>IF($J17="Yes",1,0)</f>
        <v>0</v>
      </c>
    </row>
    <row r="18" spans="1:11">
      <c r="A18">
        <v>21</v>
      </c>
      <c r="B18">
        <v>32</v>
      </c>
      <c r="C18" t="s">
        <v>15</v>
      </c>
      <c r="D18" t="s">
        <v>16</v>
      </c>
      <c r="E18" t="s">
        <v>17</v>
      </c>
      <c r="F18">
        <v>3298</v>
      </c>
      <c r="G18">
        <v>2</v>
      </c>
      <c r="H18" t="s">
        <v>14</v>
      </c>
      <c r="I18">
        <v>6</v>
      </c>
      <c r="J18" t="s">
        <v>18</v>
      </c>
      <c r="K18">
        <f>IF($J18="Yes",1,0)</f>
        <v>0</v>
      </c>
    </row>
    <row r="19" spans="1:11">
      <c r="A19">
        <v>22</v>
      </c>
      <c r="B19">
        <v>22</v>
      </c>
      <c r="C19" t="s">
        <v>15</v>
      </c>
      <c r="D19" t="s">
        <v>16</v>
      </c>
      <c r="E19" t="s">
        <v>19</v>
      </c>
      <c r="F19">
        <v>2935</v>
      </c>
      <c r="G19">
        <v>4</v>
      </c>
      <c r="H19" t="s">
        <v>14</v>
      </c>
      <c r="I19">
        <v>1</v>
      </c>
      <c r="J19" t="s">
        <v>18</v>
      </c>
      <c r="K19">
        <f>IF($J19="Yes",1,0)</f>
        <v>0</v>
      </c>
    </row>
    <row r="20" spans="1:11">
      <c r="A20">
        <v>23</v>
      </c>
      <c r="B20">
        <v>53</v>
      </c>
      <c r="C20" t="s">
        <v>11</v>
      </c>
      <c r="D20" t="s">
        <v>12</v>
      </c>
      <c r="E20" t="s">
        <v>22</v>
      </c>
      <c r="F20">
        <v>15427</v>
      </c>
      <c r="G20">
        <v>4</v>
      </c>
      <c r="H20" t="s">
        <v>18</v>
      </c>
      <c r="I20">
        <v>25</v>
      </c>
      <c r="J20" t="s">
        <v>18</v>
      </c>
      <c r="K20">
        <f>IF($J20="Yes",1,0)</f>
        <v>0</v>
      </c>
    </row>
    <row r="21" spans="1:11">
      <c r="A21">
        <v>24</v>
      </c>
      <c r="B21">
        <v>38</v>
      </c>
      <c r="C21" t="s">
        <v>15</v>
      </c>
      <c r="D21" t="s">
        <v>16</v>
      </c>
      <c r="E21" t="s">
        <v>17</v>
      </c>
      <c r="F21">
        <v>3944</v>
      </c>
      <c r="G21">
        <v>4</v>
      </c>
      <c r="H21" t="s">
        <v>14</v>
      </c>
      <c r="I21">
        <v>3</v>
      </c>
      <c r="J21" t="s">
        <v>18</v>
      </c>
      <c r="K21">
        <f>IF($J21="Yes",1,0)</f>
        <v>0</v>
      </c>
    </row>
    <row r="22" spans="1:11">
      <c r="A22">
        <v>26</v>
      </c>
      <c r="B22">
        <v>24</v>
      </c>
      <c r="C22" t="s">
        <v>11</v>
      </c>
      <c r="D22" t="s">
        <v>16</v>
      </c>
      <c r="E22" t="s">
        <v>20</v>
      </c>
      <c r="F22">
        <v>4011</v>
      </c>
      <c r="G22">
        <v>3</v>
      </c>
      <c r="H22" t="s">
        <v>18</v>
      </c>
      <c r="I22">
        <v>4</v>
      </c>
      <c r="J22" t="s">
        <v>18</v>
      </c>
      <c r="K22">
        <f>IF($J22="Yes",1,0)</f>
        <v>0</v>
      </c>
    </row>
    <row r="23" spans="1:11">
      <c r="A23">
        <v>27</v>
      </c>
      <c r="B23">
        <v>36</v>
      </c>
      <c r="C23" t="s">
        <v>15</v>
      </c>
      <c r="D23" t="s">
        <v>12</v>
      </c>
      <c r="E23" t="s">
        <v>23</v>
      </c>
      <c r="F23">
        <v>3407</v>
      </c>
      <c r="G23">
        <v>1</v>
      </c>
      <c r="H23" t="s">
        <v>18</v>
      </c>
      <c r="I23">
        <v>5</v>
      </c>
      <c r="J23" t="s">
        <v>14</v>
      </c>
      <c r="K23">
        <f>IF($J23="Yes",1,0)</f>
        <v>1</v>
      </c>
    </row>
    <row r="24" spans="1:11">
      <c r="A24">
        <v>28</v>
      </c>
      <c r="B24">
        <v>34</v>
      </c>
      <c r="C24" t="s">
        <v>11</v>
      </c>
      <c r="D24" t="s">
        <v>16</v>
      </c>
      <c r="E24" t="s">
        <v>24</v>
      </c>
      <c r="F24">
        <v>11994</v>
      </c>
      <c r="G24">
        <v>2</v>
      </c>
      <c r="H24" t="s">
        <v>18</v>
      </c>
      <c r="I24">
        <v>12</v>
      </c>
      <c r="J24" t="s">
        <v>18</v>
      </c>
      <c r="K24">
        <f>IF($J24="Yes",1,0)</f>
        <v>0</v>
      </c>
    </row>
    <row r="25" spans="1:11">
      <c r="A25">
        <v>30</v>
      </c>
      <c r="B25">
        <v>21</v>
      </c>
      <c r="C25" t="s">
        <v>15</v>
      </c>
      <c r="D25" t="s">
        <v>16</v>
      </c>
      <c r="E25" t="s">
        <v>17</v>
      </c>
      <c r="F25">
        <v>1232</v>
      </c>
      <c r="G25">
        <v>4</v>
      </c>
      <c r="H25" t="s">
        <v>18</v>
      </c>
      <c r="I25">
        <v>0</v>
      </c>
      <c r="J25" t="s">
        <v>18</v>
      </c>
      <c r="K25">
        <f>IF($J25="Yes",1,0)</f>
        <v>0</v>
      </c>
    </row>
    <row r="26" spans="1:11">
      <c r="A26">
        <v>31</v>
      </c>
      <c r="B26">
        <v>34</v>
      </c>
      <c r="C26" t="s">
        <v>15</v>
      </c>
      <c r="D26" t="s">
        <v>16</v>
      </c>
      <c r="E26" t="s">
        <v>17</v>
      </c>
      <c r="F26">
        <v>2960</v>
      </c>
      <c r="G26">
        <v>1</v>
      </c>
      <c r="H26" t="s">
        <v>18</v>
      </c>
      <c r="I26">
        <v>4</v>
      </c>
      <c r="J26" t="s">
        <v>14</v>
      </c>
      <c r="K26">
        <f>IF($J26="Yes",1,0)</f>
        <v>1</v>
      </c>
    </row>
    <row r="27" spans="1:11">
      <c r="A27">
        <v>32</v>
      </c>
      <c r="B27">
        <v>53</v>
      </c>
      <c r="C27" t="s">
        <v>11</v>
      </c>
      <c r="D27" t="s">
        <v>16</v>
      </c>
      <c r="E27" t="s">
        <v>22</v>
      </c>
      <c r="F27">
        <v>19094</v>
      </c>
      <c r="G27">
        <v>3</v>
      </c>
      <c r="H27" t="s">
        <v>18</v>
      </c>
      <c r="I27">
        <v>14</v>
      </c>
      <c r="J27" t="s">
        <v>18</v>
      </c>
      <c r="K27">
        <f>IF($J27="Yes",1,0)</f>
        <v>0</v>
      </c>
    </row>
    <row r="28" spans="1:11">
      <c r="A28">
        <v>33</v>
      </c>
      <c r="B28">
        <v>32</v>
      </c>
      <c r="C28" t="s">
        <v>11</v>
      </c>
      <c r="D28" t="s">
        <v>16</v>
      </c>
      <c r="E28" t="s">
        <v>17</v>
      </c>
      <c r="F28">
        <v>3919</v>
      </c>
      <c r="G28">
        <v>1</v>
      </c>
      <c r="H28" t="s">
        <v>14</v>
      </c>
      <c r="I28">
        <v>10</v>
      </c>
      <c r="J28" t="s">
        <v>14</v>
      </c>
      <c r="K28">
        <f>IF($J28="Yes",1,0)</f>
        <v>1</v>
      </c>
    </row>
    <row r="29" spans="1:11">
      <c r="A29">
        <v>35</v>
      </c>
      <c r="B29">
        <v>42</v>
      </c>
      <c r="C29" t="s">
        <v>15</v>
      </c>
      <c r="D29" t="s">
        <v>12</v>
      </c>
      <c r="E29" t="s">
        <v>13</v>
      </c>
      <c r="F29">
        <v>6825</v>
      </c>
      <c r="G29">
        <v>2</v>
      </c>
      <c r="H29" t="s">
        <v>18</v>
      </c>
      <c r="I29">
        <v>9</v>
      </c>
      <c r="J29" t="s">
        <v>18</v>
      </c>
      <c r="K29">
        <f>IF($J29="Yes",1,0)</f>
        <v>0</v>
      </c>
    </row>
    <row r="30" spans="1:11">
      <c r="A30">
        <v>36</v>
      </c>
      <c r="B30">
        <v>44</v>
      </c>
      <c r="C30" t="s">
        <v>11</v>
      </c>
      <c r="D30" t="s">
        <v>16</v>
      </c>
      <c r="E30" t="s">
        <v>21</v>
      </c>
      <c r="F30">
        <v>10248</v>
      </c>
      <c r="G30">
        <v>4</v>
      </c>
      <c r="H30" t="s">
        <v>18</v>
      </c>
      <c r="I30">
        <v>22</v>
      </c>
      <c r="J30" t="s">
        <v>18</v>
      </c>
      <c r="K30">
        <f>IF($J30="Yes",1,0)</f>
        <v>0</v>
      </c>
    </row>
    <row r="31" spans="1:11">
      <c r="A31">
        <v>38</v>
      </c>
      <c r="B31">
        <v>46</v>
      </c>
      <c r="C31" t="s">
        <v>11</v>
      </c>
      <c r="D31" t="s">
        <v>12</v>
      </c>
      <c r="E31" t="s">
        <v>22</v>
      </c>
      <c r="F31">
        <v>18947</v>
      </c>
      <c r="G31">
        <v>1</v>
      </c>
      <c r="H31" t="s">
        <v>18</v>
      </c>
      <c r="I31">
        <v>2</v>
      </c>
      <c r="J31" t="s">
        <v>18</v>
      </c>
      <c r="K31">
        <f>IF($J31="Yes",1,0)</f>
        <v>0</v>
      </c>
    </row>
    <row r="32" spans="1:11">
      <c r="A32">
        <v>39</v>
      </c>
      <c r="B32">
        <v>33</v>
      </c>
      <c r="C32" t="s">
        <v>15</v>
      </c>
      <c r="D32" t="s">
        <v>16</v>
      </c>
      <c r="E32" t="s">
        <v>19</v>
      </c>
      <c r="F32">
        <v>2496</v>
      </c>
      <c r="G32">
        <v>4</v>
      </c>
      <c r="H32" t="s">
        <v>18</v>
      </c>
      <c r="I32">
        <v>1</v>
      </c>
      <c r="J32" t="s">
        <v>18</v>
      </c>
      <c r="K32">
        <f>IF($J32="Yes",1,0)</f>
        <v>0</v>
      </c>
    </row>
    <row r="33" spans="1:11">
      <c r="A33">
        <v>40</v>
      </c>
      <c r="B33">
        <v>44</v>
      </c>
      <c r="C33" t="s">
        <v>15</v>
      </c>
      <c r="D33" t="s">
        <v>16</v>
      </c>
      <c r="E33" t="s">
        <v>21</v>
      </c>
      <c r="F33">
        <v>6465</v>
      </c>
      <c r="G33">
        <v>4</v>
      </c>
      <c r="H33" t="s">
        <v>14</v>
      </c>
      <c r="I33">
        <v>4</v>
      </c>
      <c r="J33" t="s">
        <v>18</v>
      </c>
      <c r="K33">
        <f>IF($J33="Yes",1,0)</f>
        <v>0</v>
      </c>
    </row>
    <row r="34" spans="1:11">
      <c r="A34">
        <v>41</v>
      </c>
      <c r="B34">
        <v>30</v>
      </c>
      <c r="C34" t="s">
        <v>15</v>
      </c>
      <c r="D34" t="s">
        <v>16</v>
      </c>
      <c r="E34" t="s">
        <v>19</v>
      </c>
      <c r="F34">
        <v>2206</v>
      </c>
      <c r="G34">
        <v>3</v>
      </c>
      <c r="H34" t="s">
        <v>18</v>
      </c>
      <c r="I34">
        <v>10</v>
      </c>
      <c r="J34" t="s">
        <v>18</v>
      </c>
      <c r="K34">
        <f>IF($J34="Yes",1,0)</f>
        <v>0</v>
      </c>
    </row>
    <row r="35" spans="1:11">
      <c r="A35">
        <v>42</v>
      </c>
      <c r="B35">
        <v>39</v>
      </c>
      <c r="C35" t="s">
        <v>15</v>
      </c>
      <c r="D35" t="s">
        <v>12</v>
      </c>
      <c r="E35" t="s">
        <v>23</v>
      </c>
      <c r="F35">
        <v>2086</v>
      </c>
      <c r="G35">
        <v>4</v>
      </c>
      <c r="H35" t="s">
        <v>18</v>
      </c>
      <c r="I35">
        <v>1</v>
      </c>
      <c r="J35" t="s">
        <v>14</v>
      </c>
      <c r="K35">
        <f>IF($J35="Yes",1,0)</f>
        <v>1</v>
      </c>
    </row>
    <row r="36" spans="1:11">
      <c r="A36">
        <v>45</v>
      </c>
      <c r="B36">
        <v>24</v>
      </c>
      <c r="C36" t="s">
        <v>15</v>
      </c>
      <c r="D36" t="s">
        <v>16</v>
      </c>
      <c r="E36" t="s">
        <v>17</v>
      </c>
      <c r="F36">
        <v>2293</v>
      </c>
      <c r="G36">
        <v>4</v>
      </c>
      <c r="H36" t="s">
        <v>14</v>
      </c>
      <c r="I36">
        <v>2</v>
      </c>
      <c r="J36" t="s">
        <v>14</v>
      </c>
      <c r="K36">
        <f>IF($J36="Yes",1,0)</f>
        <v>1</v>
      </c>
    </row>
    <row r="37" spans="1:11">
      <c r="A37">
        <v>46</v>
      </c>
      <c r="B37">
        <v>43</v>
      </c>
      <c r="C37" t="s">
        <v>11</v>
      </c>
      <c r="D37" t="s">
        <v>16</v>
      </c>
      <c r="E37" t="s">
        <v>17</v>
      </c>
      <c r="F37">
        <v>2645</v>
      </c>
      <c r="G37">
        <v>3</v>
      </c>
      <c r="H37" t="s">
        <v>18</v>
      </c>
      <c r="I37">
        <v>5</v>
      </c>
      <c r="J37" t="s">
        <v>18</v>
      </c>
      <c r="K37">
        <f>IF($J37="Yes",1,0)</f>
        <v>0</v>
      </c>
    </row>
    <row r="38" spans="1:11">
      <c r="A38">
        <v>47</v>
      </c>
      <c r="B38">
        <v>50</v>
      </c>
      <c r="C38" t="s">
        <v>15</v>
      </c>
      <c r="D38" t="s">
        <v>12</v>
      </c>
      <c r="E38" t="s">
        <v>23</v>
      </c>
      <c r="F38">
        <v>2683</v>
      </c>
      <c r="G38">
        <v>3</v>
      </c>
      <c r="H38" t="s">
        <v>14</v>
      </c>
      <c r="I38">
        <v>3</v>
      </c>
      <c r="J38" t="s">
        <v>14</v>
      </c>
      <c r="K38">
        <f>IF($J38="Yes",1,0)</f>
        <v>1</v>
      </c>
    </row>
    <row r="39" spans="1:11">
      <c r="A39">
        <v>49</v>
      </c>
      <c r="B39">
        <v>35</v>
      </c>
      <c r="C39" t="s">
        <v>11</v>
      </c>
      <c r="D39" t="s">
        <v>12</v>
      </c>
      <c r="E39" t="s">
        <v>23</v>
      </c>
      <c r="F39">
        <v>2014</v>
      </c>
      <c r="G39">
        <v>4</v>
      </c>
      <c r="H39" t="s">
        <v>18</v>
      </c>
      <c r="I39">
        <v>2</v>
      </c>
      <c r="J39" t="s">
        <v>18</v>
      </c>
      <c r="K39">
        <f>IF($J39="Yes",1,0)</f>
        <v>0</v>
      </c>
    </row>
    <row r="40" spans="1:11">
      <c r="A40">
        <v>51</v>
      </c>
      <c r="B40">
        <v>36</v>
      </c>
      <c r="C40" t="s">
        <v>11</v>
      </c>
      <c r="D40" t="s">
        <v>16</v>
      </c>
      <c r="E40" t="s">
        <v>17</v>
      </c>
      <c r="F40">
        <v>3419</v>
      </c>
      <c r="G40">
        <v>1</v>
      </c>
      <c r="H40" t="s">
        <v>14</v>
      </c>
      <c r="I40">
        <v>1</v>
      </c>
      <c r="J40" t="s">
        <v>18</v>
      </c>
      <c r="K40">
        <f>IF($J40="Yes",1,0)</f>
        <v>0</v>
      </c>
    </row>
    <row r="41" spans="1:11">
      <c r="A41">
        <v>52</v>
      </c>
      <c r="B41">
        <v>33</v>
      </c>
      <c r="C41" t="s">
        <v>11</v>
      </c>
      <c r="D41" t="s">
        <v>12</v>
      </c>
      <c r="E41" t="s">
        <v>13</v>
      </c>
      <c r="F41">
        <v>5376</v>
      </c>
      <c r="G41">
        <v>1</v>
      </c>
      <c r="H41" t="s">
        <v>18</v>
      </c>
      <c r="I41">
        <v>5</v>
      </c>
      <c r="J41" t="s">
        <v>18</v>
      </c>
      <c r="K41">
        <f>IF($J41="Yes",1,0)</f>
        <v>0</v>
      </c>
    </row>
    <row r="42" spans="1:11">
      <c r="A42">
        <v>53</v>
      </c>
      <c r="B42">
        <v>35</v>
      </c>
      <c r="C42" t="s">
        <v>15</v>
      </c>
      <c r="D42" t="s">
        <v>16</v>
      </c>
      <c r="E42" t="s">
        <v>19</v>
      </c>
      <c r="F42">
        <v>1951</v>
      </c>
      <c r="G42">
        <v>4</v>
      </c>
      <c r="H42" t="s">
        <v>18</v>
      </c>
      <c r="I42">
        <v>1</v>
      </c>
      <c r="J42" t="s">
        <v>18</v>
      </c>
      <c r="K42">
        <f>IF($J42="Yes",1,0)</f>
        <v>0</v>
      </c>
    </row>
    <row r="43" spans="1:11">
      <c r="A43">
        <v>54</v>
      </c>
      <c r="B43">
        <v>27</v>
      </c>
      <c r="C43" t="s">
        <v>11</v>
      </c>
      <c r="D43" t="s">
        <v>16</v>
      </c>
      <c r="E43" t="s">
        <v>19</v>
      </c>
      <c r="F43">
        <v>2341</v>
      </c>
      <c r="G43">
        <v>1</v>
      </c>
      <c r="H43" t="s">
        <v>18</v>
      </c>
      <c r="I43">
        <v>1</v>
      </c>
      <c r="J43" t="s">
        <v>18</v>
      </c>
      <c r="K43">
        <f>IF($J43="Yes",1,0)</f>
        <v>0</v>
      </c>
    </row>
    <row r="44" spans="1:11">
      <c r="A44">
        <v>55</v>
      </c>
      <c r="B44">
        <v>26</v>
      </c>
      <c r="C44" t="s">
        <v>15</v>
      </c>
      <c r="D44" t="s">
        <v>16</v>
      </c>
      <c r="E44" t="s">
        <v>19</v>
      </c>
      <c r="F44">
        <v>2293</v>
      </c>
      <c r="G44">
        <v>3</v>
      </c>
      <c r="H44" t="s">
        <v>18</v>
      </c>
      <c r="I44">
        <v>1</v>
      </c>
      <c r="J44" t="s">
        <v>14</v>
      </c>
      <c r="K44">
        <f>IF($J44="Yes",1,0)</f>
        <v>1</v>
      </c>
    </row>
    <row r="45" spans="1:11">
      <c r="A45">
        <v>56</v>
      </c>
      <c r="B45">
        <v>27</v>
      </c>
      <c r="C45" t="s">
        <v>15</v>
      </c>
      <c r="D45" t="s">
        <v>12</v>
      </c>
      <c r="E45" t="s">
        <v>13</v>
      </c>
      <c r="F45">
        <v>8726</v>
      </c>
      <c r="G45">
        <v>3</v>
      </c>
      <c r="H45" t="s">
        <v>18</v>
      </c>
      <c r="I45">
        <v>9</v>
      </c>
      <c r="J45" t="s">
        <v>18</v>
      </c>
      <c r="K45">
        <f>IF($J45="Yes",1,0)</f>
        <v>0</v>
      </c>
    </row>
    <row r="46" spans="1:11">
      <c r="A46">
        <v>57</v>
      </c>
      <c r="B46">
        <v>30</v>
      </c>
      <c r="C46" t="s">
        <v>11</v>
      </c>
      <c r="D46" t="s">
        <v>16</v>
      </c>
      <c r="E46" t="s">
        <v>19</v>
      </c>
      <c r="F46">
        <v>4011</v>
      </c>
      <c r="G46">
        <v>4</v>
      </c>
      <c r="H46" t="s">
        <v>18</v>
      </c>
      <c r="I46">
        <v>12</v>
      </c>
      <c r="J46" t="s">
        <v>18</v>
      </c>
      <c r="K46">
        <f>IF($J46="Yes",1,0)</f>
        <v>0</v>
      </c>
    </row>
    <row r="47" spans="1:11">
      <c r="A47">
        <v>58</v>
      </c>
      <c r="B47">
        <v>41</v>
      </c>
      <c r="C47" t="s">
        <v>11</v>
      </c>
      <c r="D47" t="s">
        <v>16</v>
      </c>
      <c r="E47" t="s">
        <v>24</v>
      </c>
      <c r="F47">
        <v>19545</v>
      </c>
      <c r="G47">
        <v>3</v>
      </c>
      <c r="H47" t="s">
        <v>18</v>
      </c>
      <c r="I47">
        <v>22</v>
      </c>
      <c r="J47" t="s">
        <v>14</v>
      </c>
      <c r="K47">
        <f>IF($J47="Yes",1,0)</f>
        <v>1</v>
      </c>
    </row>
    <row r="48" spans="1:11">
      <c r="A48">
        <v>60</v>
      </c>
      <c r="B48">
        <v>34</v>
      </c>
      <c r="C48" t="s">
        <v>15</v>
      </c>
      <c r="D48" t="s">
        <v>12</v>
      </c>
      <c r="E48" t="s">
        <v>13</v>
      </c>
      <c r="F48">
        <v>4568</v>
      </c>
      <c r="G48">
        <v>3</v>
      </c>
      <c r="H48" t="s">
        <v>18</v>
      </c>
      <c r="I48">
        <v>9</v>
      </c>
      <c r="J48" t="s">
        <v>18</v>
      </c>
      <c r="K48">
        <f>IF($J48="Yes",1,0)</f>
        <v>0</v>
      </c>
    </row>
    <row r="49" spans="1:11">
      <c r="A49">
        <v>61</v>
      </c>
      <c r="B49">
        <v>37</v>
      </c>
      <c r="C49" t="s">
        <v>15</v>
      </c>
      <c r="D49" t="s">
        <v>16</v>
      </c>
      <c r="E49" t="s">
        <v>17</v>
      </c>
      <c r="F49">
        <v>3022</v>
      </c>
      <c r="G49">
        <v>2</v>
      </c>
      <c r="H49" t="s">
        <v>18</v>
      </c>
      <c r="I49">
        <v>1</v>
      </c>
      <c r="J49" t="s">
        <v>18</v>
      </c>
      <c r="K49">
        <f>IF($J49="Yes",1,0)</f>
        <v>0</v>
      </c>
    </row>
    <row r="50" spans="1:11">
      <c r="A50">
        <v>62</v>
      </c>
      <c r="B50">
        <v>46</v>
      </c>
      <c r="C50" t="s">
        <v>15</v>
      </c>
      <c r="D50" t="s">
        <v>12</v>
      </c>
      <c r="E50" t="s">
        <v>13</v>
      </c>
      <c r="F50">
        <v>5772</v>
      </c>
      <c r="G50">
        <v>4</v>
      </c>
      <c r="H50" t="s">
        <v>14</v>
      </c>
      <c r="I50">
        <v>9</v>
      </c>
      <c r="J50" t="s">
        <v>18</v>
      </c>
      <c r="K50">
        <f>IF($J50="Yes",1,0)</f>
        <v>0</v>
      </c>
    </row>
    <row r="51" spans="1:11">
      <c r="A51">
        <v>63</v>
      </c>
      <c r="B51">
        <v>35</v>
      </c>
      <c r="C51" t="s">
        <v>15</v>
      </c>
      <c r="D51" t="s">
        <v>16</v>
      </c>
      <c r="E51" t="s">
        <v>19</v>
      </c>
      <c r="F51">
        <v>2269</v>
      </c>
      <c r="G51">
        <v>4</v>
      </c>
      <c r="H51" t="s">
        <v>18</v>
      </c>
      <c r="I51">
        <v>1</v>
      </c>
      <c r="J51" t="s">
        <v>18</v>
      </c>
      <c r="K51">
        <f>IF($J51="Yes",1,0)</f>
        <v>0</v>
      </c>
    </row>
    <row r="52" spans="1:11">
      <c r="A52">
        <v>64</v>
      </c>
      <c r="B52">
        <v>48</v>
      </c>
      <c r="C52" t="s">
        <v>15</v>
      </c>
      <c r="D52" t="s">
        <v>16</v>
      </c>
      <c r="E52" t="s">
        <v>19</v>
      </c>
      <c r="F52">
        <v>5381</v>
      </c>
      <c r="G52">
        <v>3</v>
      </c>
      <c r="H52" t="s">
        <v>14</v>
      </c>
      <c r="I52">
        <v>1</v>
      </c>
      <c r="J52" t="s">
        <v>14</v>
      </c>
      <c r="K52">
        <f>IF($J52="Yes",1,0)</f>
        <v>1</v>
      </c>
    </row>
    <row r="53" spans="1:11">
      <c r="A53">
        <v>65</v>
      </c>
      <c r="B53">
        <v>28</v>
      </c>
      <c r="C53" t="s">
        <v>15</v>
      </c>
      <c r="D53" t="s">
        <v>16</v>
      </c>
      <c r="E53" t="s">
        <v>19</v>
      </c>
      <c r="F53">
        <v>3441</v>
      </c>
      <c r="G53">
        <v>3</v>
      </c>
      <c r="H53" t="s">
        <v>14</v>
      </c>
      <c r="I53">
        <v>2</v>
      </c>
      <c r="J53" t="s">
        <v>14</v>
      </c>
      <c r="K53">
        <f>IF($J53="Yes",1,0)</f>
        <v>1</v>
      </c>
    </row>
    <row r="54" spans="1:11">
      <c r="A54">
        <v>68</v>
      </c>
      <c r="B54">
        <v>44</v>
      </c>
      <c r="C54" t="s">
        <v>11</v>
      </c>
      <c r="D54" t="s">
        <v>12</v>
      </c>
      <c r="E54" t="s">
        <v>13</v>
      </c>
      <c r="F54">
        <v>5454</v>
      </c>
      <c r="G54">
        <v>1</v>
      </c>
      <c r="H54" t="s">
        <v>14</v>
      </c>
      <c r="I54">
        <v>4</v>
      </c>
      <c r="J54" t="s">
        <v>18</v>
      </c>
      <c r="K54">
        <f>IF($J54="Yes",1,0)</f>
        <v>0</v>
      </c>
    </row>
    <row r="55" spans="1:11">
      <c r="A55">
        <v>70</v>
      </c>
      <c r="B55">
        <v>35</v>
      </c>
      <c r="C55" t="s">
        <v>15</v>
      </c>
      <c r="D55" t="s">
        <v>16</v>
      </c>
      <c r="E55" t="s">
        <v>21</v>
      </c>
      <c r="F55">
        <v>9884</v>
      </c>
      <c r="G55">
        <v>1</v>
      </c>
      <c r="H55" t="s">
        <v>14</v>
      </c>
      <c r="I55">
        <v>4</v>
      </c>
      <c r="J55" t="s">
        <v>18</v>
      </c>
      <c r="K55">
        <f>IF($J55="Yes",1,0)</f>
        <v>0</v>
      </c>
    </row>
    <row r="56" spans="1:11">
      <c r="A56">
        <v>72</v>
      </c>
      <c r="B56">
        <v>26</v>
      </c>
      <c r="C56" t="s">
        <v>11</v>
      </c>
      <c r="D56" t="s">
        <v>12</v>
      </c>
      <c r="E56" t="s">
        <v>13</v>
      </c>
      <c r="F56">
        <v>4157</v>
      </c>
      <c r="G56">
        <v>4</v>
      </c>
      <c r="H56" t="s">
        <v>14</v>
      </c>
      <c r="I56">
        <v>2</v>
      </c>
      <c r="J56" t="s">
        <v>18</v>
      </c>
      <c r="K56">
        <f>IF($J56="Yes",1,0)</f>
        <v>0</v>
      </c>
    </row>
    <row r="57" spans="1:11">
      <c r="A57">
        <v>73</v>
      </c>
      <c r="B57">
        <v>33</v>
      </c>
      <c r="C57" t="s">
        <v>11</v>
      </c>
      <c r="D57" t="s">
        <v>16</v>
      </c>
      <c r="E57" t="s">
        <v>24</v>
      </c>
      <c r="F57">
        <v>13458</v>
      </c>
      <c r="G57">
        <v>4</v>
      </c>
      <c r="H57" t="s">
        <v>14</v>
      </c>
      <c r="I57">
        <v>15</v>
      </c>
      <c r="J57" t="s">
        <v>18</v>
      </c>
      <c r="K57">
        <f>IF($J57="Yes",1,0)</f>
        <v>0</v>
      </c>
    </row>
    <row r="58" spans="1:11">
      <c r="A58">
        <v>74</v>
      </c>
      <c r="B58">
        <v>35</v>
      </c>
      <c r="C58" t="s">
        <v>15</v>
      </c>
      <c r="D58" t="s">
        <v>12</v>
      </c>
      <c r="E58" t="s">
        <v>13</v>
      </c>
      <c r="F58">
        <v>9069</v>
      </c>
      <c r="G58">
        <v>1</v>
      </c>
      <c r="H58" t="s">
        <v>18</v>
      </c>
      <c r="I58">
        <v>9</v>
      </c>
      <c r="J58" t="s">
        <v>18</v>
      </c>
      <c r="K58">
        <f>IF($J58="Yes",1,0)</f>
        <v>0</v>
      </c>
    </row>
    <row r="59" spans="1:11">
      <c r="A59">
        <v>75</v>
      </c>
      <c r="B59">
        <v>35</v>
      </c>
      <c r="C59" t="s">
        <v>11</v>
      </c>
      <c r="D59" t="s">
        <v>16</v>
      </c>
      <c r="E59" t="s">
        <v>19</v>
      </c>
      <c r="F59">
        <v>4014</v>
      </c>
      <c r="G59">
        <v>1</v>
      </c>
      <c r="H59" t="s">
        <v>14</v>
      </c>
      <c r="I59">
        <v>2</v>
      </c>
      <c r="J59" t="s">
        <v>18</v>
      </c>
      <c r="K59">
        <f>IF($J59="Yes",1,0)</f>
        <v>0</v>
      </c>
    </row>
    <row r="60" spans="1:11">
      <c r="A60">
        <v>76</v>
      </c>
      <c r="B60">
        <v>31</v>
      </c>
      <c r="C60" t="s">
        <v>15</v>
      </c>
      <c r="D60" t="s">
        <v>16</v>
      </c>
      <c r="E60" t="s">
        <v>19</v>
      </c>
      <c r="F60">
        <v>5915</v>
      </c>
      <c r="G60">
        <v>4</v>
      </c>
      <c r="H60" t="s">
        <v>18</v>
      </c>
      <c r="I60">
        <v>7</v>
      </c>
      <c r="J60" t="s">
        <v>18</v>
      </c>
      <c r="K60">
        <f>IF($J60="Yes",1,0)</f>
        <v>0</v>
      </c>
    </row>
    <row r="61" spans="1:11">
      <c r="A61">
        <v>77</v>
      </c>
      <c r="B61">
        <v>37</v>
      </c>
      <c r="C61" t="s">
        <v>15</v>
      </c>
      <c r="D61" t="s">
        <v>16</v>
      </c>
      <c r="E61" t="s">
        <v>20</v>
      </c>
      <c r="F61">
        <v>5993</v>
      </c>
      <c r="G61">
        <v>3</v>
      </c>
      <c r="H61" t="s">
        <v>18</v>
      </c>
      <c r="I61">
        <v>7</v>
      </c>
      <c r="J61" t="s">
        <v>18</v>
      </c>
      <c r="K61">
        <f>IF($J61="Yes",1,0)</f>
        <v>0</v>
      </c>
    </row>
    <row r="62" spans="1:11">
      <c r="A62">
        <v>78</v>
      </c>
      <c r="B62">
        <v>32</v>
      </c>
      <c r="C62" t="s">
        <v>15</v>
      </c>
      <c r="D62" t="s">
        <v>16</v>
      </c>
      <c r="E62" t="s">
        <v>20</v>
      </c>
      <c r="F62">
        <v>6162</v>
      </c>
      <c r="G62">
        <v>4</v>
      </c>
      <c r="H62" t="s">
        <v>14</v>
      </c>
      <c r="I62">
        <v>9</v>
      </c>
      <c r="J62" t="s">
        <v>18</v>
      </c>
      <c r="K62">
        <f>IF($J62="Yes",1,0)</f>
        <v>0</v>
      </c>
    </row>
    <row r="63" spans="1:11">
      <c r="A63">
        <v>79</v>
      </c>
      <c r="B63">
        <v>38</v>
      </c>
      <c r="C63" t="s">
        <v>11</v>
      </c>
      <c r="D63" t="s">
        <v>16</v>
      </c>
      <c r="E63" t="s">
        <v>19</v>
      </c>
      <c r="F63">
        <v>2406</v>
      </c>
      <c r="G63">
        <v>4</v>
      </c>
      <c r="H63" t="s">
        <v>18</v>
      </c>
      <c r="I63">
        <v>10</v>
      </c>
      <c r="J63" t="s">
        <v>18</v>
      </c>
      <c r="K63">
        <f>IF($J63="Yes",1,0)</f>
        <v>0</v>
      </c>
    </row>
    <row r="64" spans="1:11">
      <c r="A64">
        <v>80</v>
      </c>
      <c r="B64">
        <v>50</v>
      </c>
      <c r="C64" t="s">
        <v>11</v>
      </c>
      <c r="D64" t="s">
        <v>16</v>
      </c>
      <c r="E64" t="s">
        <v>24</v>
      </c>
      <c r="F64">
        <v>18740</v>
      </c>
      <c r="G64">
        <v>3</v>
      </c>
      <c r="H64" t="s">
        <v>14</v>
      </c>
      <c r="I64">
        <v>27</v>
      </c>
      <c r="J64" t="s">
        <v>18</v>
      </c>
      <c r="K64">
        <f>IF($J64="Yes",1,0)</f>
        <v>0</v>
      </c>
    </row>
    <row r="65" spans="1:11">
      <c r="A65">
        <v>81</v>
      </c>
      <c r="B65">
        <v>59</v>
      </c>
      <c r="C65" t="s">
        <v>11</v>
      </c>
      <c r="D65" t="s">
        <v>12</v>
      </c>
      <c r="E65" t="s">
        <v>13</v>
      </c>
      <c r="F65">
        <v>7637</v>
      </c>
      <c r="G65">
        <v>1</v>
      </c>
      <c r="H65" t="s">
        <v>18</v>
      </c>
      <c r="I65">
        <v>21</v>
      </c>
      <c r="J65" t="s">
        <v>18</v>
      </c>
      <c r="K65">
        <f>IF($J65="Yes",1,0)</f>
        <v>0</v>
      </c>
    </row>
    <row r="66" spans="1:11">
      <c r="A66">
        <v>83</v>
      </c>
      <c r="B66">
        <v>36</v>
      </c>
      <c r="C66" t="s">
        <v>11</v>
      </c>
      <c r="D66" t="s">
        <v>16</v>
      </c>
      <c r="E66" t="s">
        <v>21</v>
      </c>
      <c r="F66">
        <v>10096</v>
      </c>
      <c r="G66">
        <v>3</v>
      </c>
      <c r="H66" t="s">
        <v>18</v>
      </c>
      <c r="I66">
        <v>17</v>
      </c>
      <c r="J66" t="s">
        <v>18</v>
      </c>
      <c r="K66">
        <f>IF($J66="Yes",1,0)</f>
        <v>0</v>
      </c>
    </row>
    <row r="67" spans="1:11">
      <c r="A67">
        <v>84</v>
      </c>
      <c r="B67">
        <v>55</v>
      </c>
      <c r="C67" t="s">
        <v>11</v>
      </c>
      <c r="D67" t="s">
        <v>16</v>
      </c>
      <c r="E67" t="s">
        <v>22</v>
      </c>
      <c r="F67">
        <v>14756</v>
      </c>
      <c r="G67">
        <v>3</v>
      </c>
      <c r="H67" t="s">
        <v>14</v>
      </c>
      <c r="I67">
        <v>5</v>
      </c>
      <c r="J67" t="s">
        <v>18</v>
      </c>
      <c r="K67">
        <f>IF($J67="Yes",1,0)</f>
        <v>0</v>
      </c>
    </row>
    <row r="68" spans="1:11">
      <c r="A68">
        <v>85</v>
      </c>
      <c r="B68">
        <v>36</v>
      </c>
      <c r="C68" t="s">
        <v>15</v>
      </c>
      <c r="D68" t="s">
        <v>16</v>
      </c>
      <c r="E68" t="s">
        <v>20</v>
      </c>
      <c r="F68">
        <v>6499</v>
      </c>
      <c r="G68">
        <v>2</v>
      </c>
      <c r="H68" t="s">
        <v>18</v>
      </c>
      <c r="I68">
        <v>6</v>
      </c>
      <c r="J68" t="s">
        <v>18</v>
      </c>
      <c r="K68">
        <f>IF($J68="Yes",1,0)</f>
        <v>0</v>
      </c>
    </row>
    <row r="69" spans="1:11">
      <c r="A69">
        <v>86</v>
      </c>
      <c r="B69">
        <v>45</v>
      </c>
      <c r="C69" t="s">
        <v>15</v>
      </c>
      <c r="D69" t="s">
        <v>16</v>
      </c>
      <c r="E69" t="s">
        <v>17</v>
      </c>
      <c r="F69">
        <v>9724</v>
      </c>
      <c r="G69">
        <v>1</v>
      </c>
      <c r="H69" t="s">
        <v>18</v>
      </c>
      <c r="I69">
        <v>1</v>
      </c>
      <c r="J69" t="s">
        <v>18</v>
      </c>
      <c r="K69">
        <f>IF($J69="Yes",1,0)</f>
        <v>0</v>
      </c>
    </row>
    <row r="70" spans="1:11">
      <c r="A70">
        <v>88</v>
      </c>
      <c r="B70">
        <v>35</v>
      </c>
      <c r="C70" t="s">
        <v>15</v>
      </c>
      <c r="D70" t="s">
        <v>16</v>
      </c>
      <c r="E70" t="s">
        <v>17</v>
      </c>
      <c r="F70">
        <v>2194</v>
      </c>
      <c r="G70">
        <v>1</v>
      </c>
      <c r="H70" t="s">
        <v>18</v>
      </c>
      <c r="I70">
        <v>3</v>
      </c>
      <c r="J70" t="s">
        <v>18</v>
      </c>
      <c r="K70">
        <f>IF($J70="Yes",1,0)</f>
        <v>0</v>
      </c>
    </row>
    <row r="71" spans="1:11">
      <c r="A71">
        <v>90</v>
      </c>
      <c r="B71">
        <v>36</v>
      </c>
      <c r="C71" t="s">
        <v>15</v>
      </c>
      <c r="D71" t="s">
        <v>16</v>
      </c>
      <c r="E71" t="s">
        <v>17</v>
      </c>
      <c r="F71">
        <v>3388</v>
      </c>
      <c r="G71">
        <v>3</v>
      </c>
      <c r="H71" t="s">
        <v>14</v>
      </c>
      <c r="I71">
        <v>1</v>
      </c>
      <c r="J71" t="s">
        <v>14</v>
      </c>
      <c r="K71">
        <f>IF($J71="Yes",1,0)</f>
        <v>1</v>
      </c>
    </row>
    <row r="72" spans="1:11">
      <c r="A72">
        <v>91</v>
      </c>
      <c r="B72">
        <v>59</v>
      </c>
      <c r="C72" t="s">
        <v>11</v>
      </c>
      <c r="D72" t="s">
        <v>12</v>
      </c>
      <c r="E72" t="s">
        <v>13</v>
      </c>
      <c r="F72">
        <v>5473</v>
      </c>
      <c r="G72">
        <v>3</v>
      </c>
      <c r="H72" t="s">
        <v>18</v>
      </c>
      <c r="I72">
        <v>4</v>
      </c>
      <c r="J72" t="s">
        <v>18</v>
      </c>
      <c r="K72">
        <f>IF($J72="Yes",1,0)</f>
        <v>0</v>
      </c>
    </row>
    <row r="73" spans="1:11">
      <c r="A73">
        <v>94</v>
      </c>
      <c r="B73">
        <v>29</v>
      </c>
      <c r="C73" t="s">
        <v>15</v>
      </c>
      <c r="D73" t="s">
        <v>16</v>
      </c>
      <c r="E73" t="s">
        <v>17</v>
      </c>
      <c r="F73">
        <v>2703</v>
      </c>
      <c r="G73">
        <v>2</v>
      </c>
      <c r="H73" t="s">
        <v>18</v>
      </c>
      <c r="I73">
        <v>5</v>
      </c>
      <c r="J73" t="s">
        <v>18</v>
      </c>
      <c r="K73">
        <f>IF($J73="Yes",1,0)</f>
        <v>0</v>
      </c>
    </row>
    <row r="74" spans="1:11">
      <c r="A74">
        <v>95</v>
      </c>
      <c r="B74">
        <v>31</v>
      </c>
      <c r="C74" t="s">
        <v>15</v>
      </c>
      <c r="D74" t="s">
        <v>16</v>
      </c>
      <c r="E74" t="s">
        <v>17</v>
      </c>
      <c r="F74">
        <v>2501</v>
      </c>
      <c r="G74">
        <v>2</v>
      </c>
      <c r="H74" t="s">
        <v>18</v>
      </c>
      <c r="I74">
        <v>1</v>
      </c>
      <c r="J74" t="s">
        <v>18</v>
      </c>
      <c r="K74">
        <f>IF($J74="Yes",1,0)</f>
        <v>0</v>
      </c>
    </row>
    <row r="75" spans="1:11">
      <c r="A75">
        <v>96</v>
      </c>
      <c r="B75">
        <v>32</v>
      </c>
      <c r="C75" t="s">
        <v>15</v>
      </c>
      <c r="D75" t="s">
        <v>16</v>
      </c>
      <c r="E75" t="s">
        <v>17</v>
      </c>
      <c r="F75">
        <v>6220</v>
      </c>
      <c r="G75">
        <v>2</v>
      </c>
      <c r="H75" t="s">
        <v>18</v>
      </c>
      <c r="I75">
        <v>10</v>
      </c>
      <c r="J75" t="s">
        <v>18</v>
      </c>
      <c r="K75">
        <f>IF($J75="Yes",1,0)</f>
        <v>0</v>
      </c>
    </row>
    <row r="76" spans="1:11">
      <c r="A76">
        <v>97</v>
      </c>
      <c r="B76">
        <v>36</v>
      </c>
      <c r="C76" t="s">
        <v>11</v>
      </c>
      <c r="D76" t="s">
        <v>16</v>
      </c>
      <c r="E76" t="s">
        <v>19</v>
      </c>
      <c r="F76">
        <v>3038</v>
      </c>
      <c r="G76">
        <v>4</v>
      </c>
      <c r="H76" t="s">
        <v>18</v>
      </c>
      <c r="I76">
        <v>1</v>
      </c>
      <c r="J76" t="s">
        <v>18</v>
      </c>
      <c r="K76">
        <f>IF($J76="Yes",1,0)</f>
        <v>0</v>
      </c>
    </row>
    <row r="77" spans="1:11">
      <c r="A77">
        <v>98</v>
      </c>
      <c r="B77">
        <v>31</v>
      </c>
      <c r="C77" t="s">
        <v>11</v>
      </c>
      <c r="D77" t="s">
        <v>16</v>
      </c>
      <c r="E77" t="s">
        <v>20</v>
      </c>
      <c r="F77">
        <v>4424</v>
      </c>
      <c r="G77">
        <v>4</v>
      </c>
      <c r="H77" t="s">
        <v>18</v>
      </c>
      <c r="I77">
        <v>11</v>
      </c>
      <c r="J77" t="s">
        <v>18</v>
      </c>
      <c r="K77">
        <f>IF($J77="Yes",1,0)</f>
        <v>0</v>
      </c>
    </row>
    <row r="78" spans="1:11">
      <c r="A78">
        <v>100</v>
      </c>
      <c r="B78">
        <v>35</v>
      </c>
      <c r="C78" t="s">
        <v>15</v>
      </c>
      <c r="D78" t="s">
        <v>12</v>
      </c>
      <c r="E78" t="s">
        <v>13</v>
      </c>
      <c r="F78">
        <v>4312</v>
      </c>
      <c r="G78">
        <v>1</v>
      </c>
      <c r="H78" t="s">
        <v>18</v>
      </c>
      <c r="I78">
        <v>15</v>
      </c>
      <c r="J78" t="s">
        <v>18</v>
      </c>
      <c r="K78">
        <f>IF($J78="Yes",1,0)</f>
        <v>0</v>
      </c>
    </row>
    <row r="79" spans="1:11">
      <c r="A79">
        <v>101</v>
      </c>
      <c r="B79">
        <v>45</v>
      </c>
      <c r="C79" t="s">
        <v>15</v>
      </c>
      <c r="D79" t="s">
        <v>16</v>
      </c>
      <c r="E79" t="s">
        <v>24</v>
      </c>
      <c r="F79">
        <v>13245</v>
      </c>
      <c r="G79">
        <v>1</v>
      </c>
      <c r="H79" t="s">
        <v>14</v>
      </c>
      <c r="I79">
        <v>0</v>
      </c>
      <c r="J79" t="s">
        <v>18</v>
      </c>
      <c r="K79">
        <f>IF($J79="Yes",1,0)</f>
        <v>0</v>
      </c>
    </row>
    <row r="80" spans="1:11">
      <c r="A80">
        <v>102</v>
      </c>
      <c r="B80">
        <v>37</v>
      </c>
      <c r="C80" t="s">
        <v>15</v>
      </c>
      <c r="D80" t="s">
        <v>16</v>
      </c>
      <c r="E80" t="s">
        <v>24</v>
      </c>
      <c r="F80">
        <v>13664</v>
      </c>
      <c r="G80">
        <v>3</v>
      </c>
      <c r="H80" t="s">
        <v>18</v>
      </c>
      <c r="I80">
        <v>5</v>
      </c>
      <c r="J80" t="s">
        <v>18</v>
      </c>
      <c r="K80">
        <f>IF($J80="Yes",1,0)</f>
        <v>0</v>
      </c>
    </row>
    <row r="81" spans="1:11">
      <c r="A81">
        <v>103</v>
      </c>
      <c r="B81">
        <v>46</v>
      </c>
      <c r="C81" t="s">
        <v>15</v>
      </c>
      <c r="D81" t="s">
        <v>25</v>
      </c>
      <c r="E81" t="s">
        <v>25</v>
      </c>
      <c r="F81">
        <v>5021</v>
      </c>
      <c r="G81">
        <v>2</v>
      </c>
      <c r="H81" t="s">
        <v>14</v>
      </c>
      <c r="I81">
        <v>4</v>
      </c>
      <c r="J81" t="s">
        <v>18</v>
      </c>
      <c r="K81">
        <f>IF($J81="Yes",1,0)</f>
        <v>0</v>
      </c>
    </row>
    <row r="82" spans="1:11">
      <c r="A82">
        <v>104</v>
      </c>
      <c r="B82">
        <v>30</v>
      </c>
      <c r="C82" t="s">
        <v>15</v>
      </c>
      <c r="D82" t="s">
        <v>16</v>
      </c>
      <c r="E82" t="s">
        <v>19</v>
      </c>
      <c r="F82">
        <v>5126</v>
      </c>
      <c r="G82">
        <v>4</v>
      </c>
      <c r="H82" t="s">
        <v>14</v>
      </c>
      <c r="I82">
        <v>10</v>
      </c>
      <c r="J82" t="s">
        <v>18</v>
      </c>
      <c r="K82">
        <f>IF($J82="Yes",1,0)</f>
        <v>0</v>
      </c>
    </row>
    <row r="83" spans="1:11">
      <c r="A83">
        <v>105</v>
      </c>
      <c r="B83">
        <v>35</v>
      </c>
      <c r="C83" t="s">
        <v>15</v>
      </c>
      <c r="D83" t="s">
        <v>16</v>
      </c>
      <c r="E83" t="s">
        <v>17</v>
      </c>
      <c r="F83">
        <v>2859</v>
      </c>
      <c r="G83">
        <v>3</v>
      </c>
      <c r="H83" t="s">
        <v>18</v>
      </c>
      <c r="I83">
        <v>6</v>
      </c>
      <c r="J83" t="s">
        <v>18</v>
      </c>
      <c r="K83">
        <f>IF($J83="Yes",1,0)</f>
        <v>0</v>
      </c>
    </row>
    <row r="84" spans="1:11">
      <c r="A84">
        <v>106</v>
      </c>
      <c r="B84">
        <v>55</v>
      </c>
      <c r="C84" t="s">
        <v>15</v>
      </c>
      <c r="D84" t="s">
        <v>12</v>
      </c>
      <c r="E84" t="s">
        <v>13</v>
      </c>
      <c r="F84">
        <v>10239</v>
      </c>
      <c r="G84">
        <v>4</v>
      </c>
      <c r="H84" t="s">
        <v>18</v>
      </c>
      <c r="I84">
        <v>1</v>
      </c>
      <c r="J84" t="s">
        <v>18</v>
      </c>
      <c r="K84">
        <f>IF($J84="Yes",1,0)</f>
        <v>0</v>
      </c>
    </row>
    <row r="85" spans="1:11">
      <c r="A85">
        <v>107</v>
      </c>
      <c r="B85">
        <v>38</v>
      </c>
      <c r="C85" t="s">
        <v>11</v>
      </c>
      <c r="D85" t="s">
        <v>16</v>
      </c>
      <c r="E85" t="s">
        <v>17</v>
      </c>
      <c r="F85">
        <v>5329</v>
      </c>
      <c r="G85">
        <v>4</v>
      </c>
      <c r="H85" t="s">
        <v>14</v>
      </c>
      <c r="I85">
        <v>13</v>
      </c>
      <c r="J85" t="s">
        <v>18</v>
      </c>
      <c r="K85">
        <f>IF($J85="Yes",1,0)</f>
        <v>0</v>
      </c>
    </row>
    <row r="86" spans="1:11">
      <c r="A86">
        <v>110</v>
      </c>
      <c r="B86">
        <v>34</v>
      </c>
      <c r="C86" t="s">
        <v>15</v>
      </c>
      <c r="D86" t="s">
        <v>16</v>
      </c>
      <c r="E86" t="s">
        <v>20</v>
      </c>
      <c r="F86">
        <v>4325</v>
      </c>
      <c r="G86">
        <v>2</v>
      </c>
      <c r="H86" t="s">
        <v>18</v>
      </c>
      <c r="I86">
        <v>5</v>
      </c>
      <c r="J86" t="s">
        <v>18</v>
      </c>
      <c r="K86">
        <f>IF($J86="Yes",1,0)</f>
        <v>0</v>
      </c>
    </row>
    <row r="87" spans="1:11">
      <c r="A87">
        <v>112</v>
      </c>
      <c r="B87">
        <v>56</v>
      </c>
      <c r="C87" t="s">
        <v>15</v>
      </c>
      <c r="D87" t="s">
        <v>16</v>
      </c>
      <c r="E87" t="s">
        <v>20</v>
      </c>
      <c r="F87">
        <v>7260</v>
      </c>
      <c r="G87">
        <v>4</v>
      </c>
      <c r="H87" t="s">
        <v>18</v>
      </c>
      <c r="I87">
        <v>6</v>
      </c>
      <c r="J87" t="s">
        <v>18</v>
      </c>
      <c r="K87">
        <f>IF($J87="Yes",1,0)</f>
        <v>0</v>
      </c>
    </row>
    <row r="88" spans="1:11">
      <c r="A88">
        <v>113</v>
      </c>
      <c r="B88">
        <v>23</v>
      </c>
      <c r="C88" t="s">
        <v>15</v>
      </c>
      <c r="D88" t="s">
        <v>12</v>
      </c>
      <c r="E88" t="s">
        <v>23</v>
      </c>
      <c r="F88">
        <v>2322</v>
      </c>
      <c r="G88">
        <v>1</v>
      </c>
      <c r="H88" t="s">
        <v>18</v>
      </c>
      <c r="I88">
        <v>0</v>
      </c>
      <c r="J88" t="s">
        <v>18</v>
      </c>
      <c r="K88">
        <f>IF($J88="Yes",1,0)</f>
        <v>0</v>
      </c>
    </row>
    <row r="89" spans="1:11">
      <c r="A89">
        <v>116</v>
      </c>
      <c r="B89">
        <v>51</v>
      </c>
      <c r="C89" t="s">
        <v>15</v>
      </c>
      <c r="D89" t="s">
        <v>16</v>
      </c>
      <c r="E89" t="s">
        <v>19</v>
      </c>
      <c r="F89">
        <v>2075</v>
      </c>
      <c r="G89">
        <v>4</v>
      </c>
      <c r="H89" t="s">
        <v>18</v>
      </c>
      <c r="I89">
        <v>4</v>
      </c>
      <c r="J89" t="s">
        <v>18</v>
      </c>
      <c r="K89">
        <f>IF($J89="Yes",1,0)</f>
        <v>0</v>
      </c>
    </row>
    <row r="90" spans="1:11">
      <c r="A90">
        <v>117</v>
      </c>
      <c r="B90">
        <v>30</v>
      </c>
      <c r="C90" t="s">
        <v>15</v>
      </c>
      <c r="D90" t="s">
        <v>16</v>
      </c>
      <c r="E90" t="s">
        <v>21</v>
      </c>
      <c r="F90">
        <v>4152</v>
      </c>
      <c r="G90">
        <v>4</v>
      </c>
      <c r="H90" t="s">
        <v>18</v>
      </c>
      <c r="I90">
        <v>11</v>
      </c>
      <c r="J90" t="s">
        <v>18</v>
      </c>
      <c r="K90">
        <f>IF($J90="Yes",1,0)</f>
        <v>0</v>
      </c>
    </row>
    <row r="91" spans="1:11">
      <c r="A91">
        <v>118</v>
      </c>
      <c r="B91">
        <v>46</v>
      </c>
      <c r="C91" t="s">
        <v>15</v>
      </c>
      <c r="D91" t="s">
        <v>12</v>
      </c>
      <c r="E91" t="s">
        <v>13</v>
      </c>
      <c r="F91">
        <v>9619</v>
      </c>
      <c r="G91">
        <v>4</v>
      </c>
      <c r="H91" t="s">
        <v>18</v>
      </c>
      <c r="I91">
        <v>9</v>
      </c>
      <c r="J91" t="s">
        <v>14</v>
      </c>
      <c r="K91">
        <f>IF($J91="Yes",1,0)</f>
        <v>1</v>
      </c>
    </row>
    <row r="92" spans="1:11">
      <c r="A92">
        <v>119</v>
      </c>
      <c r="B92">
        <v>40</v>
      </c>
      <c r="C92" t="s">
        <v>15</v>
      </c>
      <c r="D92" t="s">
        <v>16</v>
      </c>
      <c r="E92" t="s">
        <v>21</v>
      </c>
      <c r="F92">
        <v>13503</v>
      </c>
      <c r="G92">
        <v>2</v>
      </c>
      <c r="H92" t="s">
        <v>18</v>
      </c>
      <c r="I92">
        <v>22</v>
      </c>
      <c r="J92" t="s">
        <v>18</v>
      </c>
      <c r="K92">
        <f>IF($J92="Yes",1,0)</f>
        <v>0</v>
      </c>
    </row>
    <row r="93" spans="1:11">
      <c r="A93">
        <v>120</v>
      </c>
      <c r="B93">
        <v>51</v>
      </c>
      <c r="C93" t="s">
        <v>15</v>
      </c>
      <c r="D93" t="s">
        <v>12</v>
      </c>
      <c r="E93" t="s">
        <v>13</v>
      </c>
      <c r="F93">
        <v>5441</v>
      </c>
      <c r="G93">
        <v>4</v>
      </c>
      <c r="H93" t="s">
        <v>14</v>
      </c>
      <c r="I93">
        <v>10</v>
      </c>
      <c r="J93" t="s">
        <v>18</v>
      </c>
      <c r="K93">
        <f>IF($J93="Yes",1,0)</f>
        <v>0</v>
      </c>
    </row>
    <row r="94" spans="1:11">
      <c r="A94">
        <v>121</v>
      </c>
      <c r="B94">
        <v>30</v>
      </c>
      <c r="C94" t="s">
        <v>11</v>
      </c>
      <c r="D94" t="s">
        <v>12</v>
      </c>
      <c r="E94" t="s">
        <v>13</v>
      </c>
      <c r="F94">
        <v>5209</v>
      </c>
      <c r="G94">
        <v>2</v>
      </c>
      <c r="H94" t="s">
        <v>14</v>
      </c>
      <c r="I94">
        <v>11</v>
      </c>
      <c r="J94" t="s">
        <v>18</v>
      </c>
      <c r="K94">
        <f>IF($J94="Yes",1,0)</f>
        <v>0</v>
      </c>
    </row>
    <row r="95" spans="1:11">
      <c r="A95">
        <v>124</v>
      </c>
      <c r="B95">
        <v>46</v>
      </c>
      <c r="C95" t="s">
        <v>15</v>
      </c>
      <c r="D95" t="s">
        <v>16</v>
      </c>
      <c r="E95" t="s">
        <v>21</v>
      </c>
      <c r="F95">
        <v>10673</v>
      </c>
      <c r="G95">
        <v>1</v>
      </c>
      <c r="H95" t="s">
        <v>14</v>
      </c>
      <c r="I95">
        <v>10</v>
      </c>
      <c r="J95" t="s">
        <v>18</v>
      </c>
      <c r="K95">
        <f>IF($J95="Yes",1,0)</f>
        <v>0</v>
      </c>
    </row>
    <row r="96" spans="1:11">
      <c r="A96">
        <v>125</v>
      </c>
      <c r="B96">
        <v>32</v>
      </c>
      <c r="C96" t="s">
        <v>15</v>
      </c>
      <c r="D96" t="s">
        <v>12</v>
      </c>
      <c r="E96" t="s">
        <v>13</v>
      </c>
      <c r="F96">
        <v>5010</v>
      </c>
      <c r="G96">
        <v>3</v>
      </c>
      <c r="H96" t="s">
        <v>18</v>
      </c>
      <c r="I96">
        <v>11</v>
      </c>
      <c r="J96" t="s">
        <v>18</v>
      </c>
      <c r="K96">
        <f>IF($J96="Yes",1,0)</f>
        <v>0</v>
      </c>
    </row>
    <row r="97" spans="1:11">
      <c r="A97">
        <v>126</v>
      </c>
      <c r="B97">
        <v>54</v>
      </c>
      <c r="C97" t="s">
        <v>11</v>
      </c>
      <c r="D97" t="s">
        <v>16</v>
      </c>
      <c r="E97" t="s">
        <v>24</v>
      </c>
      <c r="F97">
        <v>13549</v>
      </c>
      <c r="G97">
        <v>3</v>
      </c>
      <c r="H97" t="s">
        <v>18</v>
      </c>
      <c r="I97">
        <v>4</v>
      </c>
      <c r="J97" t="s">
        <v>18</v>
      </c>
      <c r="K97">
        <f>IF($J97="Yes",1,0)</f>
        <v>0</v>
      </c>
    </row>
    <row r="98" spans="1:11">
      <c r="A98">
        <v>128</v>
      </c>
      <c r="B98">
        <v>24</v>
      </c>
      <c r="C98" t="s">
        <v>11</v>
      </c>
      <c r="D98" t="s">
        <v>12</v>
      </c>
      <c r="E98" t="s">
        <v>13</v>
      </c>
      <c r="F98">
        <v>4999</v>
      </c>
      <c r="G98">
        <v>3</v>
      </c>
      <c r="H98" t="s">
        <v>18</v>
      </c>
      <c r="I98">
        <v>3</v>
      </c>
      <c r="J98" t="s">
        <v>18</v>
      </c>
      <c r="K98">
        <f>IF($J98="Yes",1,0)</f>
        <v>0</v>
      </c>
    </row>
    <row r="99" spans="1:11">
      <c r="A99">
        <v>129</v>
      </c>
      <c r="B99">
        <v>28</v>
      </c>
      <c r="C99" t="s">
        <v>15</v>
      </c>
      <c r="D99" t="s">
        <v>12</v>
      </c>
      <c r="E99" t="s">
        <v>13</v>
      </c>
      <c r="F99">
        <v>4221</v>
      </c>
      <c r="G99">
        <v>3</v>
      </c>
      <c r="H99" t="s">
        <v>18</v>
      </c>
      <c r="I99">
        <v>5</v>
      </c>
      <c r="J99" t="s">
        <v>18</v>
      </c>
      <c r="K99">
        <f>IF($J99="Yes",1,0)</f>
        <v>0</v>
      </c>
    </row>
    <row r="100" spans="1:11">
      <c r="A100">
        <v>131</v>
      </c>
      <c r="B100">
        <v>58</v>
      </c>
      <c r="C100" t="s">
        <v>15</v>
      </c>
      <c r="D100" t="s">
        <v>12</v>
      </c>
      <c r="E100" t="s">
        <v>13</v>
      </c>
      <c r="F100">
        <v>13872</v>
      </c>
      <c r="G100">
        <v>3</v>
      </c>
      <c r="H100" t="s">
        <v>18</v>
      </c>
      <c r="I100">
        <v>37</v>
      </c>
      <c r="J100" t="s">
        <v>18</v>
      </c>
      <c r="K100">
        <f>IF($J100="Yes",1,0)</f>
        <v>0</v>
      </c>
    </row>
    <row r="101" spans="1:11">
      <c r="A101">
        <v>132</v>
      </c>
      <c r="B101">
        <v>44</v>
      </c>
      <c r="C101" t="s">
        <v>15</v>
      </c>
      <c r="D101" t="s">
        <v>16</v>
      </c>
      <c r="E101" t="s">
        <v>19</v>
      </c>
      <c r="F101">
        <v>2042</v>
      </c>
      <c r="G101">
        <v>2</v>
      </c>
      <c r="H101" t="s">
        <v>18</v>
      </c>
      <c r="I101">
        <v>3</v>
      </c>
      <c r="J101" t="s">
        <v>18</v>
      </c>
      <c r="K101">
        <f>IF($J101="Yes",1,0)</f>
        <v>0</v>
      </c>
    </row>
    <row r="102" spans="1:11">
      <c r="A102">
        <v>133</v>
      </c>
      <c r="B102">
        <v>37</v>
      </c>
      <c r="C102" t="s">
        <v>15</v>
      </c>
      <c r="D102" t="s">
        <v>25</v>
      </c>
      <c r="E102" t="s">
        <v>25</v>
      </c>
      <c r="F102">
        <v>2073</v>
      </c>
      <c r="G102">
        <v>1</v>
      </c>
      <c r="H102" t="s">
        <v>14</v>
      </c>
      <c r="I102">
        <v>3</v>
      </c>
      <c r="J102" t="s">
        <v>14</v>
      </c>
      <c r="K102">
        <f>IF($J102="Yes",1,0)</f>
        <v>1</v>
      </c>
    </row>
    <row r="103" spans="1:11">
      <c r="A103">
        <v>134</v>
      </c>
      <c r="B103">
        <v>32</v>
      </c>
      <c r="C103" t="s">
        <v>15</v>
      </c>
      <c r="D103" t="s">
        <v>16</v>
      </c>
      <c r="E103" t="s">
        <v>17</v>
      </c>
      <c r="F103">
        <v>2956</v>
      </c>
      <c r="G103">
        <v>1</v>
      </c>
      <c r="H103" t="s">
        <v>18</v>
      </c>
      <c r="I103">
        <v>1</v>
      </c>
      <c r="J103" t="s">
        <v>18</v>
      </c>
      <c r="K103">
        <f>IF($J103="Yes",1,0)</f>
        <v>0</v>
      </c>
    </row>
    <row r="104" spans="1:11">
      <c r="A104">
        <v>137</v>
      </c>
      <c r="B104">
        <v>20</v>
      </c>
      <c r="C104" t="s">
        <v>11</v>
      </c>
      <c r="D104" t="s">
        <v>16</v>
      </c>
      <c r="E104" t="s">
        <v>19</v>
      </c>
      <c r="F104">
        <v>2926</v>
      </c>
      <c r="G104">
        <v>4</v>
      </c>
      <c r="H104" t="s">
        <v>14</v>
      </c>
      <c r="I104">
        <v>1</v>
      </c>
      <c r="J104" t="s">
        <v>14</v>
      </c>
      <c r="K104">
        <f>IF($J104="Yes",1,0)</f>
        <v>1</v>
      </c>
    </row>
    <row r="105" spans="1:11">
      <c r="A105">
        <v>138</v>
      </c>
      <c r="B105">
        <v>34</v>
      </c>
      <c r="C105" t="s">
        <v>11</v>
      </c>
      <c r="D105" t="s">
        <v>16</v>
      </c>
      <c r="E105" t="s">
        <v>17</v>
      </c>
      <c r="F105">
        <v>4809</v>
      </c>
      <c r="G105">
        <v>3</v>
      </c>
      <c r="H105" t="s">
        <v>18</v>
      </c>
      <c r="I105">
        <v>16</v>
      </c>
      <c r="J105" t="s">
        <v>18</v>
      </c>
      <c r="K105">
        <f>IF($J105="Yes",1,0)</f>
        <v>0</v>
      </c>
    </row>
    <row r="106" spans="1:11">
      <c r="A106">
        <v>139</v>
      </c>
      <c r="B106">
        <v>37</v>
      </c>
      <c r="C106" t="s">
        <v>15</v>
      </c>
      <c r="D106" t="s">
        <v>16</v>
      </c>
      <c r="E106" t="s">
        <v>21</v>
      </c>
      <c r="F106">
        <v>5163</v>
      </c>
      <c r="G106">
        <v>4</v>
      </c>
      <c r="H106" t="s">
        <v>18</v>
      </c>
      <c r="I106">
        <v>1</v>
      </c>
      <c r="J106" t="s">
        <v>18</v>
      </c>
      <c r="K106">
        <f>IF($J106="Yes",1,0)</f>
        <v>0</v>
      </c>
    </row>
    <row r="107" spans="1:11">
      <c r="A107">
        <v>140</v>
      </c>
      <c r="B107">
        <v>59</v>
      </c>
      <c r="C107" t="s">
        <v>11</v>
      </c>
      <c r="D107" t="s">
        <v>25</v>
      </c>
      <c r="E107" t="s">
        <v>22</v>
      </c>
      <c r="F107">
        <v>18844</v>
      </c>
      <c r="G107">
        <v>4</v>
      </c>
      <c r="H107" t="s">
        <v>18</v>
      </c>
      <c r="I107">
        <v>3</v>
      </c>
      <c r="J107" t="s">
        <v>18</v>
      </c>
      <c r="K107">
        <f>IF($J107="Yes",1,0)</f>
        <v>0</v>
      </c>
    </row>
    <row r="108" spans="1:11">
      <c r="A108">
        <v>141</v>
      </c>
      <c r="B108">
        <v>50</v>
      </c>
      <c r="C108" t="s">
        <v>11</v>
      </c>
      <c r="D108" t="s">
        <v>16</v>
      </c>
      <c r="E108" t="s">
        <v>24</v>
      </c>
      <c r="F108">
        <v>18172</v>
      </c>
      <c r="G108">
        <v>2</v>
      </c>
      <c r="H108" t="s">
        <v>14</v>
      </c>
      <c r="I108">
        <v>8</v>
      </c>
      <c r="J108" t="s">
        <v>18</v>
      </c>
      <c r="K108">
        <f>IF($J108="Yes",1,0)</f>
        <v>0</v>
      </c>
    </row>
    <row r="109" spans="1:11">
      <c r="A109">
        <v>142</v>
      </c>
      <c r="B109">
        <v>25</v>
      </c>
      <c r="C109" t="s">
        <v>15</v>
      </c>
      <c r="D109" t="s">
        <v>12</v>
      </c>
      <c r="E109" t="s">
        <v>13</v>
      </c>
      <c r="F109">
        <v>5744</v>
      </c>
      <c r="G109">
        <v>3</v>
      </c>
      <c r="H109" t="s">
        <v>14</v>
      </c>
      <c r="I109">
        <v>6</v>
      </c>
      <c r="J109" t="s">
        <v>14</v>
      </c>
      <c r="K109">
        <f>IF($J109="Yes",1,0)</f>
        <v>1</v>
      </c>
    </row>
    <row r="110" spans="1:11">
      <c r="A110">
        <v>143</v>
      </c>
      <c r="B110">
        <v>25</v>
      </c>
      <c r="C110" t="s">
        <v>15</v>
      </c>
      <c r="D110" t="s">
        <v>16</v>
      </c>
      <c r="E110" t="s">
        <v>17</v>
      </c>
      <c r="F110">
        <v>2889</v>
      </c>
      <c r="G110">
        <v>4</v>
      </c>
      <c r="H110" t="s">
        <v>18</v>
      </c>
      <c r="I110">
        <v>2</v>
      </c>
      <c r="J110" t="s">
        <v>18</v>
      </c>
      <c r="K110">
        <f>IF($J110="Yes",1,0)</f>
        <v>0</v>
      </c>
    </row>
    <row r="111" spans="1:11">
      <c r="A111">
        <v>144</v>
      </c>
      <c r="B111">
        <v>22</v>
      </c>
      <c r="C111" t="s">
        <v>11</v>
      </c>
      <c r="D111" t="s">
        <v>16</v>
      </c>
      <c r="E111" t="s">
        <v>19</v>
      </c>
      <c r="F111">
        <v>2871</v>
      </c>
      <c r="G111">
        <v>4</v>
      </c>
      <c r="H111" t="s">
        <v>18</v>
      </c>
      <c r="I111">
        <v>0</v>
      </c>
      <c r="J111" t="s">
        <v>18</v>
      </c>
      <c r="K111">
        <f>IF($J111="Yes",1,0)</f>
        <v>0</v>
      </c>
    </row>
    <row r="112" spans="1:11">
      <c r="A112">
        <v>145</v>
      </c>
      <c r="B112">
        <v>51</v>
      </c>
      <c r="C112" t="s">
        <v>11</v>
      </c>
      <c r="D112" t="s">
        <v>16</v>
      </c>
      <c r="E112" t="s">
        <v>21</v>
      </c>
      <c r="F112">
        <v>7484</v>
      </c>
      <c r="G112">
        <v>1</v>
      </c>
      <c r="H112" t="s">
        <v>18</v>
      </c>
      <c r="I112">
        <v>13</v>
      </c>
      <c r="J112" t="s">
        <v>18</v>
      </c>
      <c r="K112">
        <f>IF($J112="Yes",1,0)</f>
        <v>0</v>
      </c>
    </row>
    <row r="113" spans="1:11">
      <c r="A113">
        <v>147</v>
      </c>
      <c r="B113">
        <v>34</v>
      </c>
      <c r="C113" t="s">
        <v>15</v>
      </c>
      <c r="D113" t="s">
        <v>16</v>
      </c>
      <c r="E113" t="s">
        <v>19</v>
      </c>
      <c r="F113">
        <v>6074</v>
      </c>
      <c r="G113">
        <v>3</v>
      </c>
      <c r="H113" t="s">
        <v>14</v>
      </c>
      <c r="I113">
        <v>9</v>
      </c>
      <c r="J113" t="s">
        <v>14</v>
      </c>
      <c r="K113">
        <f>IF($J113="Yes",1,0)</f>
        <v>1</v>
      </c>
    </row>
    <row r="114" spans="1:11">
      <c r="A114">
        <v>148</v>
      </c>
      <c r="B114">
        <v>54</v>
      </c>
      <c r="C114" t="s">
        <v>11</v>
      </c>
      <c r="D114" t="s">
        <v>25</v>
      </c>
      <c r="E114" t="s">
        <v>22</v>
      </c>
      <c r="F114">
        <v>17328</v>
      </c>
      <c r="G114">
        <v>4</v>
      </c>
      <c r="H114" t="s">
        <v>14</v>
      </c>
      <c r="I114">
        <v>5</v>
      </c>
      <c r="J114" t="s">
        <v>18</v>
      </c>
      <c r="K114">
        <f>IF($J114="Yes",1,0)</f>
        <v>0</v>
      </c>
    </row>
    <row r="115" spans="1:11">
      <c r="A115">
        <v>150</v>
      </c>
      <c r="B115">
        <v>24</v>
      </c>
      <c r="C115" t="s">
        <v>15</v>
      </c>
      <c r="D115" t="s">
        <v>16</v>
      </c>
      <c r="E115" t="s">
        <v>19</v>
      </c>
      <c r="F115">
        <v>2774</v>
      </c>
      <c r="G115">
        <v>3</v>
      </c>
      <c r="H115" t="s">
        <v>18</v>
      </c>
      <c r="I115">
        <v>5</v>
      </c>
      <c r="J115" t="s">
        <v>18</v>
      </c>
      <c r="K115">
        <f>IF($J115="Yes",1,0)</f>
        <v>0</v>
      </c>
    </row>
    <row r="116" spans="1:11">
      <c r="A116">
        <v>151</v>
      </c>
      <c r="B116">
        <v>34</v>
      </c>
      <c r="C116" t="s">
        <v>11</v>
      </c>
      <c r="D116" t="s">
        <v>16</v>
      </c>
      <c r="E116" t="s">
        <v>17</v>
      </c>
      <c r="F116">
        <v>4505</v>
      </c>
      <c r="G116">
        <v>2</v>
      </c>
      <c r="H116" t="s">
        <v>18</v>
      </c>
      <c r="I116">
        <v>1</v>
      </c>
      <c r="J116" t="s">
        <v>18</v>
      </c>
      <c r="K116">
        <f>IF($J116="Yes",1,0)</f>
        <v>0</v>
      </c>
    </row>
    <row r="117" spans="1:11">
      <c r="A117">
        <v>152</v>
      </c>
      <c r="B117">
        <v>37</v>
      </c>
      <c r="C117" t="s">
        <v>15</v>
      </c>
      <c r="D117" t="s">
        <v>12</v>
      </c>
      <c r="E117" t="s">
        <v>13</v>
      </c>
      <c r="F117">
        <v>7428</v>
      </c>
      <c r="G117">
        <v>4</v>
      </c>
      <c r="H117" t="s">
        <v>18</v>
      </c>
      <c r="I117">
        <v>5</v>
      </c>
      <c r="J117" t="s">
        <v>18</v>
      </c>
      <c r="K117">
        <f>IF($J117="Yes",1,0)</f>
        <v>0</v>
      </c>
    </row>
    <row r="118" spans="1:11">
      <c r="A118">
        <v>153</v>
      </c>
      <c r="B118">
        <v>34</v>
      </c>
      <c r="C118" t="s">
        <v>11</v>
      </c>
      <c r="D118" t="s">
        <v>16</v>
      </c>
      <c r="E118" t="s">
        <v>22</v>
      </c>
      <c r="F118">
        <v>11631</v>
      </c>
      <c r="G118">
        <v>1</v>
      </c>
      <c r="H118" t="s">
        <v>18</v>
      </c>
      <c r="I118">
        <v>11</v>
      </c>
      <c r="J118" t="s">
        <v>18</v>
      </c>
      <c r="K118">
        <f>IF($J118="Yes",1,0)</f>
        <v>0</v>
      </c>
    </row>
    <row r="119" spans="1:11">
      <c r="A119">
        <v>154</v>
      </c>
      <c r="B119">
        <v>36</v>
      </c>
      <c r="C119" t="s">
        <v>11</v>
      </c>
      <c r="D119" t="s">
        <v>12</v>
      </c>
      <c r="E119" t="s">
        <v>13</v>
      </c>
      <c r="F119">
        <v>9738</v>
      </c>
      <c r="G119">
        <v>4</v>
      </c>
      <c r="H119" t="s">
        <v>18</v>
      </c>
      <c r="I119">
        <v>9</v>
      </c>
      <c r="J119" t="s">
        <v>18</v>
      </c>
      <c r="K119">
        <f>IF($J119="Yes",1,0)</f>
        <v>0</v>
      </c>
    </row>
    <row r="120" spans="1:11">
      <c r="A120">
        <v>155</v>
      </c>
      <c r="B120">
        <v>36</v>
      </c>
      <c r="C120" t="s">
        <v>11</v>
      </c>
      <c r="D120" t="s">
        <v>16</v>
      </c>
      <c r="E120" t="s">
        <v>19</v>
      </c>
      <c r="F120">
        <v>2835</v>
      </c>
      <c r="G120">
        <v>4</v>
      </c>
      <c r="H120" t="s">
        <v>18</v>
      </c>
      <c r="I120">
        <v>1</v>
      </c>
      <c r="J120" t="s">
        <v>18</v>
      </c>
      <c r="K120">
        <f>IF($J120="Yes",1,0)</f>
        <v>0</v>
      </c>
    </row>
    <row r="121" spans="1:11">
      <c r="A121">
        <v>158</v>
      </c>
      <c r="B121">
        <v>43</v>
      </c>
      <c r="C121" t="s">
        <v>15</v>
      </c>
      <c r="D121" t="s">
        <v>12</v>
      </c>
      <c r="E121" t="s">
        <v>22</v>
      </c>
      <c r="F121">
        <v>16959</v>
      </c>
      <c r="G121">
        <v>4</v>
      </c>
      <c r="H121" t="s">
        <v>14</v>
      </c>
      <c r="I121">
        <v>25</v>
      </c>
      <c r="J121" t="s">
        <v>18</v>
      </c>
      <c r="K121">
        <f>IF($J121="Yes",1,0)</f>
        <v>0</v>
      </c>
    </row>
    <row r="122" spans="1:11">
      <c r="A122">
        <v>159</v>
      </c>
      <c r="B122">
        <v>30</v>
      </c>
      <c r="C122" t="s">
        <v>15</v>
      </c>
      <c r="D122" t="s">
        <v>16</v>
      </c>
      <c r="E122" t="s">
        <v>17</v>
      </c>
      <c r="F122">
        <v>2613</v>
      </c>
      <c r="G122">
        <v>3</v>
      </c>
      <c r="H122" t="s">
        <v>18</v>
      </c>
      <c r="I122">
        <v>10</v>
      </c>
      <c r="J122" t="s">
        <v>18</v>
      </c>
      <c r="K122">
        <f>IF($J122="Yes",1,0)</f>
        <v>0</v>
      </c>
    </row>
    <row r="123" spans="1:11">
      <c r="A123">
        <v>160</v>
      </c>
      <c r="B123">
        <v>33</v>
      </c>
      <c r="C123" t="s">
        <v>15</v>
      </c>
      <c r="D123" t="s">
        <v>12</v>
      </c>
      <c r="E123" t="s">
        <v>13</v>
      </c>
      <c r="F123">
        <v>6146</v>
      </c>
      <c r="G123">
        <v>2</v>
      </c>
      <c r="H123" t="s">
        <v>18</v>
      </c>
      <c r="I123">
        <v>7</v>
      </c>
      <c r="J123" t="s">
        <v>18</v>
      </c>
      <c r="K123">
        <f>IF($J123="Yes",1,0)</f>
        <v>0</v>
      </c>
    </row>
    <row r="124" spans="1:11">
      <c r="A124">
        <v>161</v>
      </c>
      <c r="B124">
        <v>56</v>
      </c>
      <c r="C124" t="s">
        <v>11</v>
      </c>
      <c r="D124" t="s">
        <v>16</v>
      </c>
      <c r="E124" t="s">
        <v>17</v>
      </c>
      <c r="F124">
        <v>4963</v>
      </c>
      <c r="G124">
        <v>2</v>
      </c>
      <c r="H124" t="s">
        <v>14</v>
      </c>
      <c r="I124">
        <v>5</v>
      </c>
      <c r="J124" t="s">
        <v>14</v>
      </c>
      <c r="K124">
        <f>IF($J124="Yes",1,0)</f>
        <v>1</v>
      </c>
    </row>
    <row r="125" spans="1:11">
      <c r="A125">
        <v>162</v>
      </c>
      <c r="B125">
        <v>51</v>
      </c>
      <c r="C125" t="s">
        <v>15</v>
      </c>
      <c r="D125" t="s">
        <v>16</v>
      </c>
      <c r="E125" t="s">
        <v>24</v>
      </c>
      <c r="F125">
        <v>19537</v>
      </c>
      <c r="G125">
        <v>3</v>
      </c>
      <c r="H125" t="s">
        <v>18</v>
      </c>
      <c r="I125">
        <v>20</v>
      </c>
      <c r="J125" t="s">
        <v>18</v>
      </c>
      <c r="K125">
        <f>IF($J125="Yes",1,0)</f>
        <v>0</v>
      </c>
    </row>
    <row r="126" spans="1:11">
      <c r="A126">
        <v>163</v>
      </c>
      <c r="B126">
        <v>31</v>
      </c>
      <c r="C126" t="s">
        <v>15</v>
      </c>
      <c r="D126" t="s">
        <v>12</v>
      </c>
      <c r="E126" t="s">
        <v>13</v>
      </c>
      <c r="F126">
        <v>6172</v>
      </c>
      <c r="G126">
        <v>3</v>
      </c>
      <c r="H126" t="s">
        <v>14</v>
      </c>
      <c r="I126">
        <v>7</v>
      </c>
      <c r="J126" t="s">
        <v>14</v>
      </c>
      <c r="K126">
        <f>IF($J126="Yes",1,0)</f>
        <v>1</v>
      </c>
    </row>
    <row r="127" spans="1:11">
      <c r="A127">
        <v>164</v>
      </c>
      <c r="B127">
        <v>26</v>
      </c>
      <c r="C127" t="s">
        <v>11</v>
      </c>
      <c r="D127" t="s">
        <v>16</v>
      </c>
      <c r="E127" t="s">
        <v>17</v>
      </c>
      <c r="F127">
        <v>2368</v>
      </c>
      <c r="G127">
        <v>2</v>
      </c>
      <c r="H127" t="s">
        <v>18</v>
      </c>
      <c r="I127">
        <v>5</v>
      </c>
      <c r="J127" t="s">
        <v>18</v>
      </c>
      <c r="K127">
        <f>IF($J127="Yes",1,0)</f>
        <v>0</v>
      </c>
    </row>
    <row r="128" spans="1:11">
      <c r="A128">
        <v>165</v>
      </c>
      <c r="B128">
        <v>58</v>
      </c>
      <c r="C128" t="s">
        <v>11</v>
      </c>
      <c r="D128" t="s">
        <v>16</v>
      </c>
      <c r="E128" t="s">
        <v>21</v>
      </c>
      <c r="F128">
        <v>10312</v>
      </c>
      <c r="G128">
        <v>4</v>
      </c>
      <c r="H128" t="s">
        <v>18</v>
      </c>
      <c r="I128">
        <v>40</v>
      </c>
      <c r="J128" t="s">
        <v>14</v>
      </c>
      <c r="K128">
        <f>IF($J128="Yes",1,0)</f>
        <v>1</v>
      </c>
    </row>
    <row r="129" spans="1:11">
      <c r="A129">
        <v>167</v>
      </c>
      <c r="B129">
        <v>19</v>
      </c>
      <c r="C129" t="s">
        <v>15</v>
      </c>
      <c r="D129" t="s">
        <v>12</v>
      </c>
      <c r="E129" t="s">
        <v>23</v>
      </c>
      <c r="F129">
        <v>1675</v>
      </c>
      <c r="G129">
        <v>3</v>
      </c>
      <c r="H129" t="s">
        <v>14</v>
      </c>
      <c r="I129">
        <v>0</v>
      </c>
      <c r="J129" t="s">
        <v>14</v>
      </c>
      <c r="K129">
        <f>IF($J129="Yes",1,0)</f>
        <v>1</v>
      </c>
    </row>
    <row r="130" spans="1:11">
      <c r="A130">
        <v>169</v>
      </c>
      <c r="B130">
        <v>22</v>
      </c>
      <c r="C130" t="s">
        <v>15</v>
      </c>
      <c r="D130" t="s">
        <v>16</v>
      </c>
      <c r="E130" t="s">
        <v>19</v>
      </c>
      <c r="F130">
        <v>2523</v>
      </c>
      <c r="G130">
        <v>4</v>
      </c>
      <c r="H130" t="s">
        <v>18</v>
      </c>
      <c r="I130">
        <v>2</v>
      </c>
      <c r="J130" t="s">
        <v>18</v>
      </c>
      <c r="K130">
        <f>IF($J130="Yes",1,0)</f>
        <v>0</v>
      </c>
    </row>
    <row r="131" spans="1:11">
      <c r="A131">
        <v>170</v>
      </c>
      <c r="B131">
        <v>49</v>
      </c>
      <c r="C131" t="s">
        <v>11</v>
      </c>
      <c r="D131" t="s">
        <v>16</v>
      </c>
      <c r="E131" t="s">
        <v>20</v>
      </c>
      <c r="F131">
        <v>6567</v>
      </c>
      <c r="G131">
        <v>1</v>
      </c>
      <c r="H131" t="s">
        <v>18</v>
      </c>
      <c r="I131">
        <v>15</v>
      </c>
      <c r="J131" t="s">
        <v>18</v>
      </c>
      <c r="K131">
        <f>IF($J131="Yes",1,0)</f>
        <v>0</v>
      </c>
    </row>
    <row r="132" spans="1:11">
      <c r="A132">
        <v>171</v>
      </c>
      <c r="B132">
        <v>43</v>
      </c>
      <c r="C132" t="s">
        <v>11</v>
      </c>
      <c r="D132" t="s">
        <v>16</v>
      </c>
      <c r="E132" t="s">
        <v>17</v>
      </c>
      <c r="F132">
        <v>4739</v>
      </c>
      <c r="G132">
        <v>3</v>
      </c>
      <c r="H132" t="s">
        <v>18</v>
      </c>
      <c r="I132">
        <v>3</v>
      </c>
      <c r="J132" t="s">
        <v>18</v>
      </c>
      <c r="K132">
        <f>IF($J132="Yes",1,0)</f>
        <v>0</v>
      </c>
    </row>
    <row r="133" spans="1:11">
      <c r="A133">
        <v>174</v>
      </c>
      <c r="B133">
        <v>50</v>
      </c>
      <c r="C133" t="s">
        <v>11</v>
      </c>
      <c r="D133" t="s">
        <v>12</v>
      </c>
      <c r="E133" t="s">
        <v>13</v>
      </c>
      <c r="F133">
        <v>9208</v>
      </c>
      <c r="G133">
        <v>4</v>
      </c>
      <c r="H133" t="s">
        <v>18</v>
      </c>
      <c r="I133">
        <v>2</v>
      </c>
      <c r="J133" t="s">
        <v>18</v>
      </c>
      <c r="K133">
        <f>IF($J133="Yes",1,0)</f>
        <v>0</v>
      </c>
    </row>
    <row r="134" spans="1:11">
      <c r="A134">
        <v>175</v>
      </c>
      <c r="B134">
        <v>31</v>
      </c>
      <c r="C134" t="s">
        <v>11</v>
      </c>
      <c r="D134" t="s">
        <v>12</v>
      </c>
      <c r="E134" t="s">
        <v>13</v>
      </c>
      <c r="F134">
        <v>4559</v>
      </c>
      <c r="G134">
        <v>3</v>
      </c>
      <c r="H134" t="s">
        <v>14</v>
      </c>
      <c r="I134">
        <v>2</v>
      </c>
      <c r="J134" t="s">
        <v>14</v>
      </c>
      <c r="K134">
        <f>IF($J134="Yes",1,0)</f>
        <v>1</v>
      </c>
    </row>
    <row r="135" spans="1:11">
      <c r="A135">
        <v>176</v>
      </c>
      <c r="B135">
        <v>41</v>
      </c>
      <c r="C135" t="s">
        <v>15</v>
      </c>
      <c r="D135" t="s">
        <v>12</v>
      </c>
      <c r="E135" t="s">
        <v>13</v>
      </c>
      <c r="F135">
        <v>8189</v>
      </c>
      <c r="G135">
        <v>3</v>
      </c>
      <c r="H135" t="s">
        <v>14</v>
      </c>
      <c r="I135">
        <v>9</v>
      </c>
      <c r="J135" t="s">
        <v>18</v>
      </c>
      <c r="K135">
        <f>IF($J135="Yes",1,0)</f>
        <v>0</v>
      </c>
    </row>
    <row r="136" spans="1:11">
      <c r="A136">
        <v>177</v>
      </c>
      <c r="B136">
        <v>26</v>
      </c>
      <c r="C136" t="s">
        <v>11</v>
      </c>
      <c r="D136" t="s">
        <v>25</v>
      </c>
      <c r="E136" t="s">
        <v>25</v>
      </c>
      <c r="F136">
        <v>2942</v>
      </c>
      <c r="G136">
        <v>3</v>
      </c>
      <c r="H136" t="s">
        <v>18</v>
      </c>
      <c r="I136">
        <v>8</v>
      </c>
      <c r="J136" t="s">
        <v>18</v>
      </c>
      <c r="K136">
        <f>IF($J136="Yes",1,0)</f>
        <v>0</v>
      </c>
    </row>
    <row r="137" spans="1:11">
      <c r="A137">
        <v>178</v>
      </c>
      <c r="B137">
        <v>36</v>
      </c>
      <c r="C137" t="s">
        <v>15</v>
      </c>
      <c r="D137" t="s">
        <v>16</v>
      </c>
      <c r="E137" t="s">
        <v>20</v>
      </c>
      <c r="F137">
        <v>4941</v>
      </c>
      <c r="G137">
        <v>2</v>
      </c>
      <c r="H137" t="s">
        <v>18</v>
      </c>
      <c r="I137">
        <v>3</v>
      </c>
      <c r="J137" t="s">
        <v>18</v>
      </c>
      <c r="K137">
        <f>IF($J137="Yes",1,0)</f>
        <v>0</v>
      </c>
    </row>
    <row r="138" spans="1:11">
      <c r="A138">
        <v>179</v>
      </c>
      <c r="B138">
        <v>51</v>
      </c>
      <c r="C138" t="s">
        <v>15</v>
      </c>
      <c r="D138" t="s">
        <v>16</v>
      </c>
      <c r="E138" t="s">
        <v>20</v>
      </c>
      <c r="F138">
        <v>10650</v>
      </c>
      <c r="G138">
        <v>4</v>
      </c>
      <c r="H138" t="s">
        <v>18</v>
      </c>
      <c r="I138">
        <v>4</v>
      </c>
      <c r="J138" t="s">
        <v>14</v>
      </c>
      <c r="K138">
        <f>IF($J138="Yes",1,0)</f>
        <v>1</v>
      </c>
    </row>
    <row r="139" spans="1:11">
      <c r="A139">
        <v>182</v>
      </c>
      <c r="B139">
        <v>39</v>
      </c>
      <c r="C139" t="s">
        <v>11</v>
      </c>
      <c r="D139" t="s">
        <v>12</v>
      </c>
      <c r="E139" t="s">
        <v>13</v>
      </c>
      <c r="F139">
        <v>5902</v>
      </c>
      <c r="G139">
        <v>3</v>
      </c>
      <c r="H139" t="s">
        <v>18</v>
      </c>
      <c r="I139">
        <v>15</v>
      </c>
      <c r="J139" t="s">
        <v>18</v>
      </c>
      <c r="K139">
        <f>IF($J139="Yes",1,0)</f>
        <v>0</v>
      </c>
    </row>
    <row r="140" spans="1:11">
      <c r="A140">
        <v>183</v>
      </c>
      <c r="B140">
        <v>25</v>
      </c>
      <c r="C140" t="s">
        <v>15</v>
      </c>
      <c r="D140" t="s">
        <v>12</v>
      </c>
      <c r="E140" t="s">
        <v>13</v>
      </c>
      <c r="F140">
        <v>8639</v>
      </c>
      <c r="G140">
        <v>3</v>
      </c>
      <c r="H140" t="s">
        <v>18</v>
      </c>
      <c r="I140">
        <v>2</v>
      </c>
      <c r="J140" t="s">
        <v>18</v>
      </c>
      <c r="K140">
        <f>IF($J140="Yes",1,0)</f>
        <v>0</v>
      </c>
    </row>
    <row r="141" spans="1:11">
      <c r="A141">
        <v>184</v>
      </c>
      <c r="B141">
        <v>30</v>
      </c>
      <c r="C141" t="s">
        <v>15</v>
      </c>
      <c r="D141" t="s">
        <v>25</v>
      </c>
      <c r="E141" t="s">
        <v>25</v>
      </c>
      <c r="F141">
        <v>6347</v>
      </c>
      <c r="G141">
        <v>4</v>
      </c>
      <c r="H141" t="s">
        <v>14</v>
      </c>
      <c r="I141">
        <v>11</v>
      </c>
      <c r="J141" t="s">
        <v>18</v>
      </c>
      <c r="K141">
        <f>IF($J141="Yes",1,0)</f>
        <v>0</v>
      </c>
    </row>
    <row r="142" spans="1:11">
      <c r="A142">
        <v>190</v>
      </c>
      <c r="B142">
        <v>32</v>
      </c>
      <c r="C142" t="s">
        <v>11</v>
      </c>
      <c r="D142" t="s">
        <v>16</v>
      </c>
      <c r="E142" t="s">
        <v>19</v>
      </c>
      <c r="F142">
        <v>4200</v>
      </c>
      <c r="G142">
        <v>1</v>
      </c>
      <c r="H142" t="s">
        <v>18</v>
      </c>
      <c r="I142">
        <v>5</v>
      </c>
      <c r="J142" t="s">
        <v>14</v>
      </c>
      <c r="K142">
        <f>IF($J142="Yes",1,0)</f>
        <v>1</v>
      </c>
    </row>
    <row r="143" spans="1:11">
      <c r="A143">
        <v>192</v>
      </c>
      <c r="B143">
        <v>45</v>
      </c>
      <c r="C143" t="s">
        <v>15</v>
      </c>
      <c r="D143" t="s">
        <v>16</v>
      </c>
      <c r="E143" t="s">
        <v>17</v>
      </c>
      <c r="F143">
        <v>3452</v>
      </c>
      <c r="G143">
        <v>4</v>
      </c>
      <c r="H143" t="s">
        <v>18</v>
      </c>
      <c r="I143">
        <v>6</v>
      </c>
      <c r="J143" t="s">
        <v>18</v>
      </c>
      <c r="K143">
        <f>IF($J143="Yes",1,0)</f>
        <v>0</v>
      </c>
    </row>
    <row r="144" spans="1:11">
      <c r="A144">
        <v>193</v>
      </c>
      <c r="B144">
        <v>38</v>
      </c>
      <c r="C144" t="s">
        <v>11</v>
      </c>
      <c r="D144" t="s">
        <v>16</v>
      </c>
      <c r="E144" t="s">
        <v>17</v>
      </c>
      <c r="F144">
        <v>4317</v>
      </c>
      <c r="G144">
        <v>3</v>
      </c>
      <c r="H144" t="s">
        <v>14</v>
      </c>
      <c r="I144">
        <v>3</v>
      </c>
      <c r="J144" t="s">
        <v>18</v>
      </c>
      <c r="K144">
        <f>IF($J144="Yes",1,0)</f>
        <v>0</v>
      </c>
    </row>
    <row r="145" spans="1:11">
      <c r="A145">
        <v>194</v>
      </c>
      <c r="B145">
        <v>30</v>
      </c>
      <c r="C145" t="s">
        <v>11</v>
      </c>
      <c r="D145" t="s">
        <v>16</v>
      </c>
      <c r="E145" t="s">
        <v>17</v>
      </c>
      <c r="F145">
        <v>2632</v>
      </c>
      <c r="G145">
        <v>3</v>
      </c>
      <c r="H145" t="s">
        <v>18</v>
      </c>
      <c r="I145">
        <v>5</v>
      </c>
      <c r="J145" t="s">
        <v>18</v>
      </c>
      <c r="K145">
        <f>IF($J145="Yes",1,0)</f>
        <v>0</v>
      </c>
    </row>
    <row r="146" spans="1:11">
      <c r="A146">
        <v>195</v>
      </c>
      <c r="B146">
        <v>32</v>
      </c>
      <c r="C146" t="s">
        <v>15</v>
      </c>
      <c r="D146" t="s">
        <v>12</v>
      </c>
      <c r="E146" t="s">
        <v>13</v>
      </c>
      <c r="F146">
        <v>4668</v>
      </c>
      <c r="G146">
        <v>4</v>
      </c>
      <c r="H146" t="s">
        <v>18</v>
      </c>
      <c r="I146">
        <v>8</v>
      </c>
      <c r="J146" t="s">
        <v>18</v>
      </c>
      <c r="K146">
        <f>IF($J146="Yes",1,0)</f>
        <v>0</v>
      </c>
    </row>
    <row r="147" spans="1:11">
      <c r="A147">
        <v>197</v>
      </c>
      <c r="B147">
        <v>30</v>
      </c>
      <c r="C147" t="s">
        <v>11</v>
      </c>
      <c r="D147" t="s">
        <v>16</v>
      </c>
      <c r="E147" t="s">
        <v>17</v>
      </c>
      <c r="F147">
        <v>3204</v>
      </c>
      <c r="G147">
        <v>1</v>
      </c>
      <c r="H147" t="s">
        <v>18</v>
      </c>
      <c r="I147">
        <v>3</v>
      </c>
      <c r="J147" t="s">
        <v>18</v>
      </c>
      <c r="K147">
        <f>IF($J147="Yes",1,0)</f>
        <v>0</v>
      </c>
    </row>
    <row r="148" spans="1:11">
      <c r="A148">
        <v>198</v>
      </c>
      <c r="B148">
        <v>30</v>
      </c>
      <c r="C148" t="s">
        <v>15</v>
      </c>
      <c r="D148" t="s">
        <v>16</v>
      </c>
      <c r="E148" t="s">
        <v>19</v>
      </c>
      <c r="F148">
        <v>2720</v>
      </c>
      <c r="G148">
        <v>4</v>
      </c>
      <c r="H148" t="s">
        <v>18</v>
      </c>
      <c r="I148">
        <v>5</v>
      </c>
      <c r="J148" t="s">
        <v>18</v>
      </c>
      <c r="K148">
        <f>IF($J148="Yes",1,0)</f>
        <v>0</v>
      </c>
    </row>
    <row r="149" spans="1:11">
      <c r="A149">
        <v>199</v>
      </c>
      <c r="B149">
        <v>41</v>
      </c>
      <c r="C149" t="s">
        <v>15</v>
      </c>
      <c r="D149" t="s">
        <v>16</v>
      </c>
      <c r="E149" t="s">
        <v>22</v>
      </c>
      <c r="F149">
        <v>17181</v>
      </c>
      <c r="G149">
        <v>1</v>
      </c>
      <c r="H149" t="s">
        <v>18</v>
      </c>
      <c r="I149">
        <v>7</v>
      </c>
      <c r="J149" t="s">
        <v>18</v>
      </c>
      <c r="K149">
        <f>IF($J149="Yes",1,0)</f>
        <v>0</v>
      </c>
    </row>
    <row r="150" spans="1:11">
      <c r="A150">
        <v>200</v>
      </c>
      <c r="B150">
        <v>41</v>
      </c>
      <c r="C150" t="s">
        <v>15</v>
      </c>
      <c r="D150" t="s">
        <v>16</v>
      </c>
      <c r="E150" t="s">
        <v>19</v>
      </c>
      <c r="F150">
        <v>2238</v>
      </c>
      <c r="G150">
        <v>1</v>
      </c>
      <c r="H150" t="s">
        <v>18</v>
      </c>
      <c r="I150">
        <v>5</v>
      </c>
      <c r="J150" t="s">
        <v>18</v>
      </c>
      <c r="K150">
        <f>IF($J150="Yes",1,0)</f>
        <v>0</v>
      </c>
    </row>
    <row r="151" spans="1:11">
      <c r="A151">
        <v>201</v>
      </c>
      <c r="B151">
        <v>19</v>
      </c>
      <c r="C151" t="s">
        <v>11</v>
      </c>
      <c r="D151" t="s">
        <v>16</v>
      </c>
      <c r="E151" t="s">
        <v>19</v>
      </c>
      <c r="F151">
        <v>1483</v>
      </c>
      <c r="G151">
        <v>2</v>
      </c>
      <c r="H151" t="s">
        <v>18</v>
      </c>
      <c r="I151">
        <v>1</v>
      </c>
      <c r="J151" t="s">
        <v>18</v>
      </c>
      <c r="K151">
        <f>IF($J151="Yes",1,0)</f>
        <v>0</v>
      </c>
    </row>
    <row r="152" spans="1:11">
      <c r="A152">
        <v>202</v>
      </c>
      <c r="B152">
        <v>40</v>
      </c>
      <c r="C152" t="s">
        <v>11</v>
      </c>
      <c r="D152" t="s">
        <v>16</v>
      </c>
      <c r="E152" t="s">
        <v>17</v>
      </c>
      <c r="F152">
        <v>5605</v>
      </c>
      <c r="G152">
        <v>2</v>
      </c>
      <c r="H152" t="s">
        <v>18</v>
      </c>
      <c r="I152">
        <v>20</v>
      </c>
      <c r="J152" t="s">
        <v>18</v>
      </c>
      <c r="K152">
        <f>IF($J152="Yes",1,0)</f>
        <v>0</v>
      </c>
    </row>
    <row r="153" spans="1:11">
      <c r="A153">
        <v>204</v>
      </c>
      <c r="B153">
        <v>35</v>
      </c>
      <c r="C153" t="s">
        <v>15</v>
      </c>
      <c r="D153" t="s">
        <v>12</v>
      </c>
      <c r="E153" t="s">
        <v>13</v>
      </c>
      <c r="F153">
        <v>7295</v>
      </c>
      <c r="G153">
        <v>2</v>
      </c>
      <c r="H153" t="s">
        <v>18</v>
      </c>
      <c r="I153">
        <v>10</v>
      </c>
      <c r="J153" t="s">
        <v>18</v>
      </c>
      <c r="K153">
        <f>IF($J153="Yes",1,0)</f>
        <v>0</v>
      </c>
    </row>
    <row r="154" spans="1:11">
      <c r="A154">
        <v>205</v>
      </c>
      <c r="B154">
        <v>53</v>
      </c>
      <c r="C154" t="s">
        <v>15</v>
      </c>
      <c r="D154" t="s">
        <v>12</v>
      </c>
      <c r="E154" t="s">
        <v>23</v>
      </c>
      <c r="F154">
        <v>2306</v>
      </c>
      <c r="G154">
        <v>3</v>
      </c>
      <c r="H154" t="s">
        <v>14</v>
      </c>
      <c r="I154">
        <v>7</v>
      </c>
      <c r="J154" t="s">
        <v>18</v>
      </c>
      <c r="K154">
        <f>IF($J154="Yes",1,0)</f>
        <v>0</v>
      </c>
    </row>
    <row r="155" spans="1:11">
      <c r="A155">
        <v>206</v>
      </c>
      <c r="B155">
        <v>45</v>
      </c>
      <c r="C155" t="s">
        <v>15</v>
      </c>
      <c r="D155" t="s">
        <v>16</v>
      </c>
      <c r="E155" t="s">
        <v>19</v>
      </c>
      <c r="F155">
        <v>2348</v>
      </c>
      <c r="G155">
        <v>2</v>
      </c>
      <c r="H155" t="s">
        <v>18</v>
      </c>
      <c r="I155">
        <v>17</v>
      </c>
      <c r="J155" t="s">
        <v>18</v>
      </c>
      <c r="K155">
        <f>IF($J155="Yes",1,0)</f>
        <v>0</v>
      </c>
    </row>
    <row r="156" spans="1:11">
      <c r="A156">
        <v>207</v>
      </c>
      <c r="B156">
        <v>32</v>
      </c>
      <c r="C156" t="s">
        <v>11</v>
      </c>
      <c r="D156" t="s">
        <v>12</v>
      </c>
      <c r="E156" t="s">
        <v>13</v>
      </c>
      <c r="F156">
        <v>8998</v>
      </c>
      <c r="G156">
        <v>4</v>
      </c>
      <c r="H156" t="s">
        <v>18</v>
      </c>
      <c r="I156">
        <v>9</v>
      </c>
      <c r="J156" t="s">
        <v>18</v>
      </c>
      <c r="K156">
        <f>IF($J156="Yes",1,0)</f>
        <v>0</v>
      </c>
    </row>
    <row r="157" spans="1:11">
      <c r="A157">
        <v>208</v>
      </c>
      <c r="B157">
        <v>29</v>
      </c>
      <c r="C157" t="s">
        <v>15</v>
      </c>
      <c r="D157" t="s">
        <v>16</v>
      </c>
      <c r="E157" t="s">
        <v>20</v>
      </c>
      <c r="F157">
        <v>4319</v>
      </c>
      <c r="G157">
        <v>3</v>
      </c>
      <c r="H157" t="s">
        <v>18</v>
      </c>
      <c r="I157">
        <v>10</v>
      </c>
      <c r="J157" t="s">
        <v>18</v>
      </c>
      <c r="K157">
        <f>IF($J157="Yes",1,0)</f>
        <v>0</v>
      </c>
    </row>
    <row r="158" spans="1:11">
      <c r="A158">
        <v>211</v>
      </c>
      <c r="B158">
        <v>51</v>
      </c>
      <c r="C158" t="s">
        <v>15</v>
      </c>
      <c r="D158" t="s">
        <v>16</v>
      </c>
      <c r="E158" t="s">
        <v>20</v>
      </c>
      <c r="F158">
        <v>6132</v>
      </c>
      <c r="G158">
        <v>3</v>
      </c>
      <c r="H158" t="s">
        <v>18</v>
      </c>
      <c r="I158">
        <v>1</v>
      </c>
      <c r="J158" t="s">
        <v>18</v>
      </c>
      <c r="K158">
        <f>IF($J158="Yes",1,0)</f>
        <v>0</v>
      </c>
    </row>
    <row r="159" spans="1:11">
      <c r="A159">
        <v>214</v>
      </c>
      <c r="B159">
        <v>58</v>
      </c>
      <c r="C159" t="s">
        <v>11</v>
      </c>
      <c r="D159" t="s">
        <v>16</v>
      </c>
      <c r="E159" t="s">
        <v>17</v>
      </c>
      <c r="F159">
        <v>3346</v>
      </c>
      <c r="G159">
        <v>2</v>
      </c>
      <c r="H159" t="s">
        <v>14</v>
      </c>
      <c r="I159">
        <v>1</v>
      </c>
      <c r="J159" t="s">
        <v>18</v>
      </c>
      <c r="K159">
        <f>IF($J159="Yes",1,0)</f>
        <v>0</v>
      </c>
    </row>
    <row r="160" spans="1:11">
      <c r="A160">
        <v>215</v>
      </c>
      <c r="B160">
        <v>40</v>
      </c>
      <c r="C160" t="s">
        <v>15</v>
      </c>
      <c r="D160" t="s">
        <v>12</v>
      </c>
      <c r="E160" t="s">
        <v>13</v>
      </c>
      <c r="F160">
        <v>10855</v>
      </c>
      <c r="G160">
        <v>4</v>
      </c>
      <c r="H160" t="s">
        <v>18</v>
      </c>
      <c r="I160">
        <v>12</v>
      </c>
      <c r="J160" t="s">
        <v>18</v>
      </c>
      <c r="K160">
        <f>IF($J160="Yes",1,0)</f>
        <v>0</v>
      </c>
    </row>
    <row r="161" spans="1:11">
      <c r="A161">
        <v>216</v>
      </c>
      <c r="B161">
        <v>34</v>
      </c>
      <c r="C161" t="s">
        <v>11</v>
      </c>
      <c r="D161" t="s">
        <v>12</v>
      </c>
      <c r="E161" t="s">
        <v>23</v>
      </c>
      <c r="F161">
        <v>2231</v>
      </c>
      <c r="G161">
        <v>3</v>
      </c>
      <c r="H161" t="s">
        <v>18</v>
      </c>
      <c r="I161">
        <v>4</v>
      </c>
      <c r="J161" t="s">
        <v>18</v>
      </c>
      <c r="K161">
        <f>IF($J161="Yes",1,0)</f>
        <v>0</v>
      </c>
    </row>
    <row r="162" spans="1:11">
      <c r="A162">
        <v>217</v>
      </c>
      <c r="B162">
        <v>22</v>
      </c>
      <c r="C162" t="s">
        <v>15</v>
      </c>
      <c r="D162" t="s">
        <v>16</v>
      </c>
      <c r="E162" t="s">
        <v>17</v>
      </c>
      <c r="F162">
        <v>2323</v>
      </c>
      <c r="G162">
        <v>4</v>
      </c>
      <c r="H162" t="s">
        <v>18</v>
      </c>
      <c r="I162">
        <v>2</v>
      </c>
      <c r="J162" t="s">
        <v>18</v>
      </c>
      <c r="K162">
        <f>IF($J162="Yes",1,0)</f>
        <v>0</v>
      </c>
    </row>
    <row r="163" spans="1:11">
      <c r="A163">
        <v>218</v>
      </c>
      <c r="B163">
        <v>27</v>
      </c>
      <c r="C163" t="s">
        <v>15</v>
      </c>
      <c r="D163" t="s">
        <v>16</v>
      </c>
      <c r="E163" t="s">
        <v>17</v>
      </c>
      <c r="F163">
        <v>2024</v>
      </c>
      <c r="G163">
        <v>2</v>
      </c>
      <c r="H163" t="s">
        <v>18</v>
      </c>
      <c r="I163">
        <v>2</v>
      </c>
      <c r="J163" t="s">
        <v>18</v>
      </c>
      <c r="K163">
        <f>IF($J163="Yes",1,0)</f>
        <v>0</v>
      </c>
    </row>
    <row r="164" spans="1:11">
      <c r="A164">
        <v>221</v>
      </c>
      <c r="B164">
        <v>28</v>
      </c>
      <c r="C164" t="s">
        <v>15</v>
      </c>
      <c r="D164" t="s">
        <v>16</v>
      </c>
      <c r="E164" t="s">
        <v>17</v>
      </c>
      <c r="F164">
        <v>2713</v>
      </c>
      <c r="G164">
        <v>4</v>
      </c>
      <c r="H164" t="s">
        <v>18</v>
      </c>
      <c r="I164">
        <v>5</v>
      </c>
      <c r="J164" t="s">
        <v>18</v>
      </c>
      <c r="K164">
        <f>IF($J164="Yes",1,0)</f>
        <v>0</v>
      </c>
    </row>
    <row r="165" spans="1:11">
      <c r="A165">
        <v>223</v>
      </c>
      <c r="B165">
        <v>57</v>
      </c>
      <c r="C165" t="s">
        <v>15</v>
      </c>
      <c r="D165" t="s">
        <v>16</v>
      </c>
      <c r="E165" t="s">
        <v>21</v>
      </c>
      <c r="F165">
        <v>9439</v>
      </c>
      <c r="G165">
        <v>4</v>
      </c>
      <c r="H165" t="s">
        <v>14</v>
      </c>
      <c r="I165">
        <v>5</v>
      </c>
      <c r="J165" t="s">
        <v>18</v>
      </c>
      <c r="K165">
        <f>IF($J165="Yes",1,0)</f>
        <v>0</v>
      </c>
    </row>
    <row r="166" spans="1:11">
      <c r="A166">
        <v>224</v>
      </c>
      <c r="B166">
        <v>27</v>
      </c>
      <c r="C166" t="s">
        <v>15</v>
      </c>
      <c r="D166" t="s">
        <v>16</v>
      </c>
      <c r="E166" t="s">
        <v>17</v>
      </c>
      <c r="F166">
        <v>2566</v>
      </c>
      <c r="G166">
        <v>3</v>
      </c>
      <c r="H166" t="s">
        <v>14</v>
      </c>
      <c r="I166">
        <v>1</v>
      </c>
      <c r="J166" t="s">
        <v>18</v>
      </c>
      <c r="K166">
        <f>IF($J166="Yes",1,0)</f>
        <v>0</v>
      </c>
    </row>
    <row r="167" spans="1:11">
      <c r="A167">
        <v>226</v>
      </c>
      <c r="B167">
        <v>50</v>
      </c>
      <c r="C167" t="s">
        <v>11</v>
      </c>
      <c r="D167" t="s">
        <v>16</v>
      </c>
      <c r="E167" t="s">
        <v>22</v>
      </c>
      <c r="F167">
        <v>19926</v>
      </c>
      <c r="G167">
        <v>2</v>
      </c>
      <c r="H167" t="s">
        <v>18</v>
      </c>
      <c r="I167">
        <v>5</v>
      </c>
      <c r="J167" t="s">
        <v>18</v>
      </c>
      <c r="K167">
        <f>IF($J167="Yes",1,0)</f>
        <v>0</v>
      </c>
    </row>
    <row r="168" spans="1:11">
      <c r="A168">
        <v>227</v>
      </c>
      <c r="B168">
        <v>41</v>
      </c>
      <c r="C168" t="s">
        <v>15</v>
      </c>
      <c r="D168" t="s">
        <v>16</v>
      </c>
      <c r="E168" t="s">
        <v>17</v>
      </c>
      <c r="F168">
        <v>2451</v>
      </c>
      <c r="G168">
        <v>3</v>
      </c>
      <c r="H168" t="s">
        <v>18</v>
      </c>
      <c r="I168">
        <v>9</v>
      </c>
      <c r="J168" t="s">
        <v>18</v>
      </c>
      <c r="K168">
        <f>IF($J168="Yes",1,0)</f>
        <v>0</v>
      </c>
    </row>
    <row r="169" spans="1:11">
      <c r="A169">
        <v>228</v>
      </c>
      <c r="B169">
        <v>30</v>
      </c>
      <c r="C169" t="s">
        <v>11</v>
      </c>
      <c r="D169" t="s">
        <v>12</v>
      </c>
      <c r="E169" t="s">
        <v>13</v>
      </c>
      <c r="F169">
        <v>9419</v>
      </c>
      <c r="G169">
        <v>4</v>
      </c>
      <c r="H169" t="s">
        <v>18</v>
      </c>
      <c r="I169">
        <v>10</v>
      </c>
      <c r="J169" t="s">
        <v>18</v>
      </c>
      <c r="K169">
        <f>IF($J169="Yes",1,0)</f>
        <v>0</v>
      </c>
    </row>
    <row r="170" spans="1:11">
      <c r="A170">
        <v>230</v>
      </c>
      <c r="B170">
        <v>38</v>
      </c>
      <c r="C170" t="s">
        <v>11</v>
      </c>
      <c r="D170" t="s">
        <v>12</v>
      </c>
      <c r="E170" t="s">
        <v>13</v>
      </c>
      <c r="F170">
        <v>8686</v>
      </c>
      <c r="G170">
        <v>4</v>
      </c>
      <c r="H170" t="s">
        <v>18</v>
      </c>
      <c r="I170">
        <v>8</v>
      </c>
      <c r="J170" t="s">
        <v>18</v>
      </c>
      <c r="K170">
        <f>IF($J170="Yes",1,0)</f>
        <v>0</v>
      </c>
    </row>
    <row r="171" spans="1:11">
      <c r="A171">
        <v>231</v>
      </c>
      <c r="B171">
        <v>32</v>
      </c>
      <c r="C171" t="s">
        <v>15</v>
      </c>
      <c r="D171" t="s">
        <v>16</v>
      </c>
      <c r="E171" t="s">
        <v>17</v>
      </c>
      <c r="F171">
        <v>3038</v>
      </c>
      <c r="G171">
        <v>3</v>
      </c>
      <c r="H171" t="s">
        <v>18</v>
      </c>
      <c r="I171">
        <v>5</v>
      </c>
      <c r="J171" t="s">
        <v>18</v>
      </c>
      <c r="K171">
        <f>IF($J171="Yes",1,0)</f>
        <v>0</v>
      </c>
    </row>
    <row r="172" spans="1:11">
      <c r="A172">
        <v>233</v>
      </c>
      <c r="B172">
        <v>27</v>
      </c>
      <c r="C172" t="s">
        <v>15</v>
      </c>
      <c r="D172" t="s">
        <v>16</v>
      </c>
      <c r="E172" t="s">
        <v>17</v>
      </c>
      <c r="F172">
        <v>3058</v>
      </c>
      <c r="G172">
        <v>2</v>
      </c>
      <c r="H172" t="s">
        <v>14</v>
      </c>
      <c r="I172">
        <v>5</v>
      </c>
      <c r="J172" t="s">
        <v>18</v>
      </c>
      <c r="K172">
        <f>IF($J172="Yes",1,0)</f>
        <v>0</v>
      </c>
    </row>
    <row r="173" spans="1:11">
      <c r="A173">
        <v>235</v>
      </c>
      <c r="B173">
        <v>19</v>
      </c>
      <c r="C173" t="s">
        <v>11</v>
      </c>
      <c r="D173" t="s">
        <v>12</v>
      </c>
      <c r="E173" t="s">
        <v>23</v>
      </c>
      <c r="F173">
        <v>2325</v>
      </c>
      <c r="G173">
        <v>1</v>
      </c>
      <c r="H173" t="s">
        <v>18</v>
      </c>
      <c r="I173">
        <v>0</v>
      </c>
      <c r="J173" t="s">
        <v>14</v>
      </c>
      <c r="K173">
        <f>IF($J173="Yes",1,0)</f>
        <v>1</v>
      </c>
    </row>
    <row r="174" spans="1:11">
      <c r="A174">
        <v>238</v>
      </c>
      <c r="B174">
        <v>36</v>
      </c>
      <c r="C174" t="s">
        <v>15</v>
      </c>
      <c r="D174" t="s">
        <v>16</v>
      </c>
      <c r="E174" t="s">
        <v>19</v>
      </c>
      <c r="F174">
        <v>2088</v>
      </c>
      <c r="G174">
        <v>2</v>
      </c>
      <c r="H174" t="s">
        <v>18</v>
      </c>
      <c r="I174">
        <v>8</v>
      </c>
      <c r="J174" t="s">
        <v>18</v>
      </c>
      <c r="K174">
        <f>IF($J174="Yes",1,0)</f>
        <v>0</v>
      </c>
    </row>
    <row r="175" spans="1:11">
      <c r="A175">
        <v>239</v>
      </c>
      <c r="B175">
        <v>30</v>
      </c>
      <c r="C175" t="s">
        <v>15</v>
      </c>
      <c r="D175" t="s">
        <v>16</v>
      </c>
      <c r="E175" t="s">
        <v>19</v>
      </c>
      <c r="F175">
        <v>3072</v>
      </c>
      <c r="G175">
        <v>1</v>
      </c>
      <c r="H175" t="s">
        <v>18</v>
      </c>
      <c r="I175">
        <v>12</v>
      </c>
      <c r="J175" t="s">
        <v>18</v>
      </c>
      <c r="K175">
        <f>IF($J175="Yes",1,0)</f>
        <v>0</v>
      </c>
    </row>
    <row r="176" spans="1:11">
      <c r="A176">
        <v>240</v>
      </c>
      <c r="B176">
        <v>45</v>
      </c>
      <c r="C176" t="s">
        <v>11</v>
      </c>
      <c r="D176" t="s">
        <v>12</v>
      </c>
      <c r="E176" t="s">
        <v>13</v>
      </c>
      <c r="F176">
        <v>5006</v>
      </c>
      <c r="G176">
        <v>1</v>
      </c>
      <c r="H176" t="s">
        <v>14</v>
      </c>
      <c r="I176">
        <v>5</v>
      </c>
      <c r="J176" t="s">
        <v>18</v>
      </c>
      <c r="K176">
        <f>IF($J176="Yes",1,0)</f>
        <v>0</v>
      </c>
    </row>
    <row r="177" spans="1:11">
      <c r="A177">
        <v>241</v>
      </c>
      <c r="B177">
        <v>56</v>
      </c>
      <c r="C177" t="s">
        <v>11</v>
      </c>
      <c r="D177" t="s">
        <v>16</v>
      </c>
      <c r="E177" t="s">
        <v>17</v>
      </c>
      <c r="F177">
        <v>4257</v>
      </c>
      <c r="G177">
        <v>1</v>
      </c>
      <c r="H177" t="s">
        <v>14</v>
      </c>
      <c r="I177">
        <v>2</v>
      </c>
      <c r="J177" t="s">
        <v>18</v>
      </c>
      <c r="K177">
        <f>IF($J177="Yes",1,0)</f>
        <v>0</v>
      </c>
    </row>
    <row r="178" spans="1:11">
      <c r="A178">
        <v>242</v>
      </c>
      <c r="B178">
        <v>33</v>
      </c>
      <c r="C178" t="s">
        <v>15</v>
      </c>
      <c r="D178" t="s">
        <v>16</v>
      </c>
      <c r="E178" t="s">
        <v>17</v>
      </c>
      <c r="F178">
        <v>2500</v>
      </c>
      <c r="G178">
        <v>4</v>
      </c>
      <c r="H178" t="s">
        <v>18</v>
      </c>
      <c r="I178">
        <v>3</v>
      </c>
      <c r="J178" t="s">
        <v>18</v>
      </c>
      <c r="K178">
        <f>IF($J178="Yes",1,0)</f>
        <v>0</v>
      </c>
    </row>
    <row r="179" spans="1:11">
      <c r="A179">
        <v>243</v>
      </c>
      <c r="B179">
        <v>19</v>
      </c>
      <c r="C179" t="s">
        <v>15</v>
      </c>
      <c r="D179" t="s">
        <v>16</v>
      </c>
      <c r="E179" t="s">
        <v>19</v>
      </c>
      <c r="F179">
        <v>1102</v>
      </c>
      <c r="G179">
        <v>4</v>
      </c>
      <c r="H179" t="s">
        <v>18</v>
      </c>
      <c r="I179">
        <v>1</v>
      </c>
      <c r="J179" t="s">
        <v>14</v>
      </c>
      <c r="K179">
        <f>IF($J179="Yes",1,0)</f>
        <v>1</v>
      </c>
    </row>
    <row r="180" spans="1:11">
      <c r="A180">
        <v>244</v>
      </c>
      <c r="B180">
        <v>46</v>
      </c>
      <c r="C180" t="s">
        <v>11</v>
      </c>
      <c r="D180" t="s">
        <v>12</v>
      </c>
      <c r="E180" t="s">
        <v>13</v>
      </c>
      <c r="F180">
        <v>10453</v>
      </c>
      <c r="G180">
        <v>1</v>
      </c>
      <c r="H180" t="s">
        <v>18</v>
      </c>
      <c r="I180">
        <v>24</v>
      </c>
      <c r="J180" t="s">
        <v>18</v>
      </c>
      <c r="K180">
        <f>IF($J180="Yes",1,0)</f>
        <v>0</v>
      </c>
    </row>
    <row r="181" spans="1:11">
      <c r="A181">
        <v>245</v>
      </c>
      <c r="B181">
        <v>38</v>
      </c>
      <c r="C181" t="s">
        <v>11</v>
      </c>
      <c r="D181" t="s">
        <v>16</v>
      </c>
      <c r="E181" t="s">
        <v>19</v>
      </c>
      <c r="F181">
        <v>2288</v>
      </c>
      <c r="G181">
        <v>4</v>
      </c>
      <c r="H181" t="s">
        <v>18</v>
      </c>
      <c r="I181">
        <v>2</v>
      </c>
      <c r="J181" t="s">
        <v>18</v>
      </c>
      <c r="K181">
        <f>IF($J181="Yes",1,0)</f>
        <v>0</v>
      </c>
    </row>
    <row r="182" spans="1:11">
      <c r="A182">
        <v>246</v>
      </c>
      <c r="B182">
        <v>31</v>
      </c>
      <c r="C182" t="s">
        <v>11</v>
      </c>
      <c r="D182" t="s">
        <v>16</v>
      </c>
      <c r="E182" t="s">
        <v>17</v>
      </c>
      <c r="F182">
        <v>3929</v>
      </c>
      <c r="G182">
        <v>4</v>
      </c>
      <c r="H182" t="s">
        <v>14</v>
      </c>
      <c r="I182">
        <v>4</v>
      </c>
      <c r="J182" t="s">
        <v>18</v>
      </c>
      <c r="K182">
        <f>IF($J182="Yes",1,0)</f>
        <v>0</v>
      </c>
    </row>
    <row r="183" spans="1:11">
      <c r="A183">
        <v>247</v>
      </c>
      <c r="B183">
        <v>34</v>
      </c>
      <c r="C183" t="s">
        <v>11</v>
      </c>
      <c r="D183" t="s">
        <v>16</v>
      </c>
      <c r="E183" t="s">
        <v>17</v>
      </c>
      <c r="F183">
        <v>2311</v>
      </c>
      <c r="G183">
        <v>2</v>
      </c>
      <c r="H183" t="s">
        <v>18</v>
      </c>
      <c r="I183">
        <v>3</v>
      </c>
      <c r="J183" t="s">
        <v>18</v>
      </c>
      <c r="K183">
        <f>IF($J183="Yes",1,0)</f>
        <v>0</v>
      </c>
    </row>
    <row r="184" spans="1:11">
      <c r="A184">
        <v>248</v>
      </c>
      <c r="B184">
        <v>41</v>
      </c>
      <c r="C184" t="s">
        <v>11</v>
      </c>
      <c r="D184" t="s">
        <v>12</v>
      </c>
      <c r="E184" t="s">
        <v>23</v>
      </c>
      <c r="F184">
        <v>3140</v>
      </c>
      <c r="G184">
        <v>2</v>
      </c>
      <c r="H184" t="s">
        <v>14</v>
      </c>
      <c r="I184">
        <v>4</v>
      </c>
      <c r="J184" t="s">
        <v>14</v>
      </c>
      <c r="K184">
        <f>IF($J184="Yes",1,0)</f>
        <v>1</v>
      </c>
    </row>
    <row r="185" spans="1:11">
      <c r="A185">
        <v>249</v>
      </c>
      <c r="B185">
        <v>50</v>
      </c>
      <c r="C185" t="s">
        <v>15</v>
      </c>
      <c r="D185" t="s">
        <v>16</v>
      </c>
      <c r="E185" t="s">
        <v>19</v>
      </c>
      <c r="F185">
        <v>3690</v>
      </c>
      <c r="G185">
        <v>3</v>
      </c>
      <c r="H185" t="s">
        <v>18</v>
      </c>
      <c r="I185">
        <v>3</v>
      </c>
      <c r="J185" t="s">
        <v>18</v>
      </c>
      <c r="K185">
        <f>IF($J185="Yes",1,0)</f>
        <v>0</v>
      </c>
    </row>
    <row r="186" spans="1:11">
      <c r="A186">
        <v>250</v>
      </c>
      <c r="B186">
        <v>53</v>
      </c>
      <c r="C186" t="s">
        <v>11</v>
      </c>
      <c r="D186" t="s">
        <v>16</v>
      </c>
      <c r="E186" t="s">
        <v>20</v>
      </c>
      <c r="F186">
        <v>4450</v>
      </c>
      <c r="G186">
        <v>1</v>
      </c>
      <c r="H186" t="s">
        <v>18</v>
      </c>
      <c r="I186">
        <v>4</v>
      </c>
      <c r="J186" t="s">
        <v>18</v>
      </c>
      <c r="K186">
        <f>IF($J186="Yes",1,0)</f>
        <v>0</v>
      </c>
    </row>
    <row r="187" spans="1:11">
      <c r="A187">
        <v>252</v>
      </c>
      <c r="B187">
        <v>33</v>
      </c>
      <c r="C187" t="s">
        <v>11</v>
      </c>
      <c r="D187" t="s">
        <v>16</v>
      </c>
      <c r="E187" t="s">
        <v>17</v>
      </c>
      <c r="F187">
        <v>2756</v>
      </c>
      <c r="G187">
        <v>2</v>
      </c>
      <c r="H187" t="s">
        <v>18</v>
      </c>
      <c r="I187">
        <v>8</v>
      </c>
      <c r="J187" t="s">
        <v>18</v>
      </c>
      <c r="K187">
        <f>IF($J187="Yes",1,0)</f>
        <v>0</v>
      </c>
    </row>
    <row r="188" spans="1:11">
      <c r="A188">
        <v>253</v>
      </c>
      <c r="B188">
        <v>40</v>
      </c>
      <c r="C188" t="s">
        <v>11</v>
      </c>
      <c r="D188" t="s">
        <v>16</v>
      </c>
      <c r="E188" t="s">
        <v>22</v>
      </c>
      <c r="F188">
        <v>19033</v>
      </c>
      <c r="G188">
        <v>3</v>
      </c>
      <c r="H188" t="s">
        <v>18</v>
      </c>
      <c r="I188">
        <v>20</v>
      </c>
      <c r="J188" t="s">
        <v>18</v>
      </c>
      <c r="K188">
        <f>IF($J188="Yes",1,0)</f>
        <v>0</v>
      </c>
    </row>
    <row r="189" spans="1:11">
      <c r="A189">
        <v>254</v>
      </c>
      <c r="B189">
        <v>55</v>
      </c>
      <c r="C189" t="s">
        <v>15</v>
      </c>
      <c r="D189" t="s">
        <v>16</v>
      </c>
      <c r="E189" t="s">
        <v>24</v>
      </c>
      <c r="F189">
        <v>18722</v>
      </c>
      <c r="G189">
        <v>2</v>
      </c>
      <c r="H189" t="s">
        <v>18</v>
      </c>
      <c r="I189">
        <v>24</v>
      </c>
      <c r="J189" t="s">
        <v>18</v>
      </c>
      <c r="K189">
        <f>IF($J189="Yes",1,0)</f>
        <v>0</v>
      </c>
    </row>
    <row r="190" spans="1:11">
      <c r="A190">
        <v>256</v>
      </c>
      <c r="B190">
        <v>34</v>
      </c>
      <c r="C190" t="s">
        <v>15</v>
      </c>
      <c r="D190" t="s">
        <v>16</v>
      </c>
      <c r="E190" t="s">
        <v>20</v>
      </c>
      <c r="F190">
        <v>9547</v>
      </c>
      <c r="G190">
        <v>3</v>
      </c>
      <c r="H190" t="s">
        <v>18</v>
      </c>
      <c r="I190">
        <v>10</v>
      </c>
      <c r="J190" t="s">
        <v>18</v>
      </c>
      <c r="K190">
        <f>IF($J190="Yes",1,0)</f>
        <v>0</v>
      </c>
    </row>
    <row r="191" spans="1:11">
      <c r="A191">
        <v>258</v>
      </c>
      <c r="B191">
        <v>51</v>
      </c>
      <c r="C191" t="s">
        <v>11</v>
      </c>
      <c r="D191" t="s">
        <v>16</v>
      </c>
      <c r="E191" t="s">
        <v>21</v>
      </c>
      <c r="F191">
        <v>13734</v>
      </c>
      <c r="G191">
        <v>2</v>
      </c>
      <c r="H191" t="s">
        <v>18</v>
      </c>
      <c r="I191">
        <v>7</v>
      </c>
      <c r="J191" t="s">
        <v>18</v>
      </c>
      <c r="K191">
        <f>IF($J191="Yes",1,0)</f>
        <v>0</v>
      </c>
    </row>
    <row r="192" spans="1:11">
      <c r="A192">
        <v>259</v>
      </c>
      <c r="B192">
        <v>52</v>
      </c>
      <c r="C192" t="s">
        <v>15</v>
      </c>
      <c r="D192" t="s">
        <v>16</v>
      </c>
      <c r="E192" t="s">
        <v>22</v>
      </c>
      <c r="F192">
        <v>19999</v>
      </c>
      <c r="G192">
        <v>3</v>
      </c>
      <c r="H192" t="s">
        <v>18</v>
      </c>
      <c r="I192">
        <v>33</v>
      </c>
      <c r="J192" t="s">
        <v>18</v>
      </c>
      <c r="K192">
        <f>IF($J192="Yes",1,0)</f>
        <v>0</v>
      </c>
    </row>
    <row r="193" spans="1:11">
      <c r="A193">
        <v>260</v>
      </c>
      <c r="B193">
        <v>27</v>
      </c>
      <c r="C193" t="s">
        <v>11</v>
      </c>
      <c r="D193" t="s">
        <v>16</v>
      </c>
      <c r="E193" t="s">
        <v>17</v>
      </c>
      <c r="F193">
        <v>2279</v>
      </c>
      <c r="G193">
        <v>2</v>
      </c>
      <c r="H193" t="s">
        <v>18</v>
      </c>
      <c r="I193">
        <v>7</v>
      </c>
      <c r="J193" t="s">
        <v>18</v>
      </c>
      <c r="K193">
        <f>IF($J193="Yes",1,0)</f>
        <v>0</v>
      </c>
    </row>
    <row r="194" spans="1:11">
      <c r="A194">
        <v>261</v>
      </c>
      <c r="B194">
        <v>35</v>
      </c>
      <c r="C194" t="s">
        <v>15</v>
      </c>
      <c r="D194" t="s">
        <v>16</v>
      </c>
      <c r="E194" t="s">
        <v>20</v>
      </c>
      <c r="F194">
        <v>5916</v>
      </c>
      <c r="G194">
        <v>3</v>
      </c>
      <c r="H194" t="s">
        <v>14</v>
      </c>
      <c r="I194">
        <v>1</v>
      </c>
      <c r="J194" t="s">
        <v>14</v>
      </c>
      <c r="K194">
        <f>IF($J194="Yes",1,0)</f>
        <v>1</v>
      </c>
    </row>
    <row r="195" spans="1:11">
      <c r="A195">
        <v>262</v>
      </c>
      <c r="B195">
        <v>43</v>
      </c>
      <c r="C195" t="s">
        <v>15</v>
      </c>
      <c r="D195" t="s">
        <v>16</v>
      </c>
      <c r="E195" t="s">
        <v>17</v>
      </c>
      <c r="F195">
        <v>2089</v>
      </c>
      <c r="G195">
        <v>4</v>
      </c>
      <c r="H195" t="s">
        <v>18</v>
      </c>
      <c r="I195">
        <v>5</v>
      </c>
      <c r="J195" t="s">
        <v>18</v>
      </c>
      <c r="K195">
        <f>IF($J195="Yes",1,0)</f>
        <v>0</v>
      </c>
    </row>
    <row r="196" spans="1:11">
      <c r="A196">
        <v>264</v>
      </c>
      <c r="B196">
        <v>45</v>
      </c>
      <c r="C196" t="s">
        <v>15</v>
      </c>
      <c r="D196" t="s">
        <v>16</v>
      </c>
      <c r="E196" t="s">
        <v>22</v>
      </c>
      <c r="F196">
        <v>16792</v>
      </c>
      <c r="G196">
        <v>4</v>
      </c>
      <c r="H196" t="s">
        <v>18</v>
      </c>
      <c r="I196">
        <v>20</v>
      </c>
      <c r="J196" t="s">
        <v>18</v>
      </c>
      <c r="K196">
        <f>IF($J196="Yes",1,0)</f>
        <v>0</v>
      </c>
    </row>
    <row r="197" spans="1:11">
      <c r="A197">
        <v>267</v>
      </c>
      <c r="B197">
        <v>37</v>
      </c>
      <c r="C197" t="s">
        <v>15</v>
      </c>
      <c r="D197" t="s">
        <v>16</v>
      </c>
      <c r="E197" t="s">
        <v>17</v>
      </c>
      <c r="F197">
        <v>3564</v>
      </c>
      <c r="G197">
        <v>1</v>
      </c>
      <c r="H197" t="s">
        <v>14</v>
      </c>
      <c r="I197">
        <v>8</v>
      </c>
      <c r="J197" t="s">
        <v>18</v>
      </c>
      <c r="K197">
        <f>IF($J197="Yes",1,0)</f>
        <v>0</v>
      </c>
    </row>
    <row r="198" spans="1:11">
      <c r="A198">
        <v>269</v>
      </c>
      <c r="B198">
        <v>35</v>
      </c>
      <c r="C198" t="s">
        <v>11</v>
      </c>
      <c r="D198" t="s">
        <v>16</v>
      </c>
      <c r="E198" t="s">
        <v>19</v>
      </c>
      <c r="F198">
        <v>4425</v>
      </c>
      <c r="G198">
        <v>2</v>
      </c>
      <c r="H198" t="s">
        <v>18</v>
      </c>
      <c r="I198">
        <v>6</v>
      </c>
      <c r="J198" t="s">
        <v>18</v>
      </c>
      <c r="K198">
        <f>IF($J198="Yes",1,0)</f>
        <v>0</v>
      </c>
    </row>
    <row r="199" spans="1:11">
      <c r="A199">
        <v>270</v>
      </c>
      <c r="B199">
        <v>42</v>
      </c>
      <c r="C199" t="s">
        <v>11</v>
      </c>
      <c r="D199" t="s">
        <v>16</v>
      </c>
      <c r="E199" t="s">
        <v>20</v>
      </c>
      <c r="F199">
        <v>5265</v>
      </c>
      <c r="G199">
        <v>3</v>
      </c>
      <c r="H199" t="s">
        <v>18</v>
      </c>
      <c r="I199">
        <v>5</v>
      </c>
      <c r="J199" t="s">
        <v>18</v>
      </c>
      <c r="K199">
        <f>IF($J199="Yes",1,0)</f>
        <v>0</v>
      </c>
    </row>
    <row r="200" spans="1:11">
      <c r="A200">
        <v>271</v>
      </c>
      <c r="B200">
        <v>38</v>
      </c>
      <c r="C200" t="s">
        <v>15</v>
      </c>
      <c r="D200" t="s">
        <v>16</v>
      </c>
      <c r="E200" t="s">
        <v>20</v>
      </c>
      <c r="F200">
        <v>6553</v>
      </c>
      <c r="G200">
        <v>3</v>
      </c>
      <c r="H200" t="s">
        <v>18</v>
      </c>
      <c r="I200">
        <v>1</v>
      </c>
      <c r="J200" t="s">
        <v>18</v>
      </c>
      <c r="K200">
        <f>IF($J200="Yes",1,0)</f>
        <v>0</v>
      </c>
    </row>
    <row r="201" spans="1:11">
      <c r="A201">
        <v>273</v>
      </c>
      <c r="B201">
        <v>38</v>
      </c>
      <c r="C201" t="s">
        <v>15</v>
      </c>
      <c r="D201" t="s">
        <v>16</v>
      </c>
      <c r="E201" t="s">
        <v>20</v>
      </c>
      <c r="F201">
        <v>6261</v>
      </c>
      <c r="G201">
        <v>4</v>
      </c>
      <c r="H201" t="s">
        <v>18</v>
      </c>
      <c r="I201">
        <v>7</v>
      </c>
      <c r="J201" t="s">
        <v>18</v>
      </c>
      <c r="K201">
        <f>IF($J201="Yes",1,0)</f>
        <v>0</v>
      </c>
    </row>
    <row r="202" spans="1:11">
      <c r="A202">
        <v>274</v>
      </c>
      <c r="B202">
        <v>27</v>
      </c>
      <c r="C202" t="s">
        <v>15</v>
      </c>
      <c r="D202" t="s">
        <v>16</v>
      </c>
      <c r="E202" t="s">
        <v>20</v>
      </c>
      <c r="F202">
        <v>4298</v>
      </c>
      <c r="G202">
        <v>1</v>
      </c>
      <c r="H202" t="s">
        <v>18</v>
      </c>
      <c r="I202">
        <v>2</v>
      </c>
      <c r="J202" t="s">
        <v>18</v>
      </c>
      <c r="K202">
        <f>IF($J202="Yes",1,0)</f>
        <v>0</v>
      </c>
    </row>
    <row r="203" spans="1:11">
      <c r="A203">
        <v>275</v>
      </c>
      <c r="B203">
        <v>49</v>
      </c>
      <c r="C203" t="s">
        <v>15</v>
      </c>
      <c r="D203" t="s">
        <v>16</v>
      </c>
      <c r="E203" t="s">
        <v>20</v>
      </c>
      <c r="F203">
        <v>6804</v>
      </c>
      <c r="G203">
        <v>4</v>
      </c>
      <c r="H203" t="s">
        <v>14</v>
      </c>
      <c r="I203">
        <v>7</v>
      </c>
      <c r="J203" t="s">
        <v>18</v>
      </c>
      <c r="K203">
        <f>IF($J203="Yes",1,0)</f>
        <v>0</v>
      </c>
    </row>
    <row r="204" spans="1:11">
      <c r="A204">
        <v>277</v>
      </c>
      <c r="B204">
        <v>34</v>
      </c>
      <c r="C204" t="s">
        <v>15</v>
      </c>
      <c r="D204" t="s">
        <v>16</v>
      </c>
      <c r="E204" t="s">
        <v>17</v>
      </c>
      <c r="F204">
        <v>3815</v>
      </c>
      <c r="G204">
        <v>3</v>
      </c>
      <c r="H204" t="s">
        <v>14</v>
      </c>
      <c r="I204">
        <v>5</v>
      </c>
      <c r="J204" t="s">
        <v>18</v>
      </c>
      <c r="K204">
        <f>IF($J204="Yes",1,0)</f>
        <v>0</v>
      </c>
    </row>
    <row r="205" spans="1:11">
      <c r="A205">
        <v>281</v>
      </c>
      <c r="B205">
        <v>40</v>
      </c>
      <c r="C205" t="s">
        <v>15</v>
      </c>
      <c r="D205" t="s">
        <v>16</v>
      </c>
      <c r="E205" t="s">
        <v>19</v>
      </c>
      <c r="F205">
        <v>2741</v>
      </c>
      <c r="G205">
        <v>4</v>
      </c>
      <c r="H205" t="s">
        <v>14</v>
      </c>
      <c r="I205">
        <v>7</v>
      </c>
      <c r="J205" t="s">
        <v>18</v>
      </c>
      <c r="K205">
        <f>IF($J205="Yes",1,0)</f>
        <v>0</v>
      </c>
    </row>
    <row r="206" spans="1:11">
      <c r="A206">
        <v>282</v>
      </c>
      <c r="B206">
        <v>38</v>
      </c>
      <c r="C206" t="s">
        <v>15</v>
      </c>
      <c r="D206" t="s">
        <v>16</v>
      </c>
      <c r="E206" t="s">
        <v>21</v>
      </c>
      <c r="F206">
        <v>6673</v>
      </c>
      <c r="G206">
        <v>1</v>
      </c>
      <c r="H206" t="s">
        <v>14</v>
      </c>
      <c r="I206">
        <v>1</v>
      </c>
      <c r="J206" t="s">
        <v>14</v>
      </c>
      <c r="K206">
        <f>IF($J206="Yes",1,0)</f>
        <v>1</v>
      </c>
    </row>
    <row r="207" spans="1:11">
      <c r="A207">
        <v>283</v>
      </c>
      <c r="B207">
        <v>29</v>
      </c>
      <c r="C207" t="s">
        <v>11</v>
      </c>
      <c r="D207" t="s">
        <v>12</v>
      </c>
      <c r="E207" t="s">
        <v>13</v>
      </c>
      <c r="F207">
        <v>7639</v>
      </c>
      <c r="G207">
        <v>4</v>
      </c>
      <c r="H207" t="s">
        <v>18</v>
      </c>
      <c r="I207">
        <v>10</v>
      </c>
      <c r="J207" t="s">
        <v>14</v>
      </c>
      <c r="K207">
        <f>IF($J207="Yes",1,0)</f>
        <v>1</v>
      </c>
    </row>
    <row r="208" spans="1:11">
      <c r="A208">
        <v>284</v>
      </c>
      <c r="B208">
        <v>22</v>
      </c>
      <c r="C208" t="s">
        <v>15</v>
      </c>
      <c r="D208" t="s">
        <v>16</v>
      </c>
      <c r="E208" t="s">
        <v>17</v>
      </c>
      <c r="F208">
        <v>2328</v>
      </c>
      <c r="G208">
        <v>2</v>
      </c>
      <c r="H208" t="s">
        <v>14</v>
      </c>
      <c r="I208">
        <v>4</v>
      </c>
      <c r="J208" t="s">
        <v>18</v>
      </c>
      <c r="K208">
        <f>IF($J208="Yes",1,0)</f>
        <v>0</v>
      </c>
    </row>
    <row r="209" spans="1:11">
      <c r="A209">
        <v>286</v>
      </c>
      <c r="B209">
        <v>36</v>
      </c>
      <c r="C209" t="s">
        <v>11</v>
      </c>
      <c r="D209" t="s">
        <v>16</v>
      </c>
      <c r="E209" t="s">
        <v>19</v>
      </c>
      <c r="F209">
        <v>2153</v>
      </c>
      <c r="G209">
        <v>4</v>
      </c>
      <c r="H209" t="s">
        <v>18</v>
      </c>
      <c r="I209">
        <v>8</v>
      </c>
      <c r="J209" t="s">
        <v>18</v>
      </c>
      <c r="K209">
        <f>IF($J209="Yes",1,0)</f>
        <v>0</v>
      </c>
    </row>
    <row r="210" spans="1:11">
      <c r="A210">
        <v>287</v>
      </c>
      <c r="B210">
        <v>40</v>
      </c>
      <c r="C210" t="s">
        <v>15</v>
      </c>
      <c r="D210" t="s">
        <v>16</v>
      </c>
      <c r="E210" t="s">
        <v>21</v>
      </c>
      <c r="F210">
        <v>4876</v>
      </c>
      <c r="G210">
        <v>4</v>
      </c>
      <c r="H210" t="s">
        <v>18</v>
      </c>
      <c r="I210">
        <v>3</v>
      </c>
      <c r="J210" t="s">
        <v>18</v>
      </c>
      <c r="K210">
        <f>IF($J210="Yes",1,0)</f>
        <v>0</v>
      </c>
    </row>
    <row r="211" spans="1:11">
      <c r="A211">
        <v>288</v>
      </c>
      <c r="B211">
        <v>46</v>
      </c>
      <c r="C211" t="s">
        <v>15</v>
      </c>
      <c r="D211" t="s">
        <v>16</v>
      </c>
      <c r="E211" t="s">
        <v>21</v>
      </c>
      <c r="F211">
        <v>9396</v>
      </c>
      <c r="G211">
        <v>1</v>
      </c>
      <c r="H211" t="s">
        <v>18</v>
      </c>
      <c r="I211">
        <v>4</v>
      </c>
      <c r="J211" t="s">
        <v>18</v>
      </c>
      <c r="K211">
        <f>IF($J211="Yes",1,0)</f>
        <v>0</v>
      </c>
    </row>
    <row r="212" spans="1:11">
      <c r="A212">
        <v>291</v>
      </c>
      <c r="B212">
        <v>32</v>
      </c>
      <c r="C212" t="s">
        <v>15</v>
      </c>
      <c r="D212" t="s">
        <v>12</v>
      </c>
      <c r="E212" t="s">
        <v>13</v>
      </c>
      <c r="F212">
        <v>10400</v>
      </c>
      <c r="G212">
        <v>4</v>
      </c>
      <c r="H212" t="s">
        <v>18</v>
      </c>
      <c r="I212">
        <v>14</v>
      </c>
      <c r="J212" t="s">
        <v>14</v>
      </c>
      <c r="K212">
        <f>IF($J212="Yes",1,0)</f>
        <v>1</v>
      </c>
    </row>
    <row r="213" spans="1:11">
      <c r="A213">
        <v>292</v>
      </c>
      <c r="B213">
        <v>30</v>
      </c>
      <c r="C213" t="s">
        <v>15</v>
      </c>
      <c r="D213" t="s">
        <v>16</v>
      </c>
      <c r="E213" t="s">
        <v>20</v>
      </c>
      <c r="F213">
        <v>8474</v>
      </c>
      <c r="G213">
        <v>3</v>
      </c>
      <c r="H213" t="s">
        <v>18</v>
      </c>
      <c r="I213">
        <v>11</v>
      </c>
      <c r="J213" t="s">
        <v>18</v>
      </c>
      <c r="K213">
        <f>IF($J213="Yes",1,0)</f>
        <v>0</v>
      </c>
    </row>
    <row r="214" spans="1:11">
      <c r="A214">
        <v>293</v>
      </c>
      <c r="B214">
        <v>27</v>
      </c>
      <c r="C214" t="s">
        <v>11</v>
      </c>
      <c r="D214" t="s">
        <v>12</v>
      </c>
      <c r="E214" t="s">
        <v>13</v>
      </c>
      <c r="F214">
        <v>9981</v>
      </c>
      <c r="G214">
        <v>3</v>
      </c>
      <c r="H214" t="s">
        <v>18</v>
      </c>
      <c r="I214">
        <v>7</v>
      </c>
      <c r="J214" t="s">
        <v>18</v>
      </c>
      <c r="K214">
        <f>IF($J214="Yes",1,0)</f>
        <v>0</v>
      </c>
    </row>
    <row r="215" spans="1:11">
      <c r="A215">
        <v>296</v>
      </c>
      <c r="B215">
        <v>51</v>
      </c>
      <c r="C215" t="s">
        <v>15</v>
      </c>
      <c r="D215" t="s">
        <v>16</v>
      </c>
      <c r="E215" t="s">
        <v>24</v>
      </c>
      <c r="F215">
        <v>12490</v>
      </c>
      <c r="G215">
        <v>2</v>
      </c>
      <c r="H215" t="s">
        <v>18</v>
      </c>
      <c r="I215">
        <v>10</v>
      </c>
      <c r="J215" t="s">
        <v>18</v>
      </c>
      <c r="K215">
        <f>IF($J215="Yes",1,0)</f>
        <v>0</v>
      </c>
    </row>
    <row r="216" spans="1:11">
      <c r="A216">
        <v>297</v>
      </c>
      <c r="B216">
        <v>30</v>
      </c>
      <c r="C216" t="s">
        <v>11</v>
      </c>
      <c r="D216" t="s">
        <v>16</v>
      </c>
      <c r="E216" t="s">
        <v>17</v>
      </c>
      <c r="F216">
        <v>2657</v>
      </c>
      <c r="G216">
        <v>1</v>
      </c>
      <c r="H216" t="s">
        <v>14</v>
      </c>
      <c r="I216">
        <v>5</v>
      </c>
      <c r="J216" t="s">
        <v>14</v>
      </c>
      <c r="K216">
        <f>IF($J216="Yes",1,0)</f>
        <v>1</v>
      </c>
    </row>
    <row r="217" spans="1:11">
      <c r="A217">
        <v>298</v>
      </c>
      <c r="B217">
        <v>41</v>
      </c>
      <c r="C217" t="s">
        <v>11</v>
      </c>
      <c r="D217" t="s">
        <v>12</v>
      </c>
      <c r="E217" t="s">
        <v>22</v>
      </c>
      <c r="F217">
        <v>13591</v>
      </c>
      <c r="G217">
        <v>4</v>
      </c>
      <c r="H217" t="s">
        <v>14</v>
      </c>
      <c r="I217">
        <v>1</v>
      </c>
      <c r="J217" t="s">
        <v>18</v>
      </c>
      <c r="K217">
        <f>IF($J217="Yes",1,0)</f>
        <v>0</v>
      </c>
    </row>
    <row r="218" spans="1:11">
      <c r="A218">
        <v>299</v>
      </c>
      <c r="B218">
        <v>30</v>
      </c>
      <c r="C218" t="s">
        <v>11</v>
      </c>
      <c r="D218" t="s">
        <v>12</v>
      </c>
      <c r="E218" t="s">
        <v>13</v>
      </c>
      <c r="F218">
        <v>6696</v>
      </c>
      <c r="G218">
        <v>1</v>
      </c>
      <c r="H218" t="s">
        <v>18</v>
      </c>
      <c r="I218">
        <v>6</v>
      </c>
      <c r="J218" t="s">
        <v>14</v>
      </c>
      <c r="K218">
        <f>IF($J218="Yes",1,0)</f>
        <v>1</v>
      </c>
    </row>
    <row r="219" spans="1:11">
      <c r="A219">
        <v>300</v>
      </c>
      <c r="B219">
        <v>29</v>
      </c>
      <c r="C219" t="s">
        <v>15</v>
      </c>
      <c r="D219" t="s">
        <v>16</v>
      </c>
      <c r="E219" t="s">
        <v>17</v>
      </c>
      <c r="F219">
        <v>2058</v>
      </c>
      <c r="G219">
        <v>3</v>
      </c>
      <c r="H219" t="s">
        <v>18</v>
      </c>
      <c r="I219">
        <v>6</v>
      </c>
      <c r="J219" t="s">
        <v>14</v>
      </c>
      <c r="K219">
        <f>IF($J219="Yes",1,0)</f>
        <v>1</v>
      </c>
    </row>
    <row r="220" spans="1:11">
      <c r="A220">
        <v>302</v>
      </c>
      <c r="B220">
        <v>45</v>
      </c>
      <c r="C220" t="s">
        <v>11</v>
      </c>
      <c r="D220" t="s">
        <v>12</v>
      </c>
      <c r="E220" t="s">
        <v>13</v>
      </c>
      <c r="F220">
        <v>8865</v>
      </c>
      <c r="G220">
        <v>4</v>
      </c>
      <c r="H220" t="s">
        <v>18</v>
      </c>
      <c r="I220">
        <v>19</v>
      </c>
      <c r="J220" t="s">
        <v>18</v>
      </c>
      <c r="K220">
        <f>IF($J220="Yes",1,0)</f>
        <v>0</v>
      </c>
    </row>
    <row r="221" spans="1:11">
      <c r="A221">
        <v>303</v>
      </c>
      <c r="B221">
        <v>54</v>
      </c>
      <c r="C221" t="s">
        <v>11</v>
      </c>
      <c r="D221" t="s">
        <v>12</v>
      </c>
      <c r="E221" t="s">
        <v>13</v>
      </c>
      <c r="F221">
        <v>5940</v>
      </c>
      <c r="G221">
        <v>1</v>
      </c>
      <c r="H221" t="s">
        <v>18</v>
      </c>
      <c r="I221">
        <v>6</v>
      </c>
      <c r="J221" t="s">
        <v>18</v>
      </c>
      <c r="K221">
        <f>IF($J221="Yes",1,0)</f>
        <v>0</v>
      </c>
    </row>
    <row r="222" spans="1:11">
      <c r="A222">
        <v>304</v>
      </c>
      <c r="B222">
        <v>36</v>
      </c>
      <c r="C222" t="s">
        <v>15</v>
      </c>
      <c r="D222" t="s">
        <v>16</v>
      </c>
      <c r="E222" t="s">
        <v>19</v>
      </c>
      <c r="F222">
        <v>5914</v>
      </c>
      <c r="G222">
        <v>2</v>
      </c>
      <c r="H222" t="s">
        <v>18</v>
      </c>
      <c r="I222">
        <v>13</v>
      </c>
      <c r="J222" t="s">
        <v>18</v>
      </c>
      <c r="K222">
        <f>IF($J222="Yes",1,0)</f>
        <v>0</v>
      </c>
    </row>
    <row r="223" spans="1:11">
      <c r="A223">
        <v>305</v>
      </c>
      <c r="B223">
        <v>33</v>
      </c>
      <c r="C223" t="s">
        <v>11</v>
      </c>
      <c r="D223" t="s">
        <v>16</v>
      </c>
      <c r="E223" t="s">
        <v>17</v>
      </c>
      <c r="F223">
        <v>2622</v>
      </c>
      <c r="G223">
        <v>2</v>
      </c>
      <c r="H223" t="s">
        <v>18</v>
      </c>
      <c r="I223">
        <v>3</v>
      </c>
      <c r="J223" t="s">
        <v>18</v>
      </c>
      <c r="K223">
        <f>IF($J223="Yes",1,0)</f>
        <v>0</v>
      </c>
    </row>
    <row r="224" spans="1:11">
      <c r="A224">
        <v>306</v>
      </c>
      <c r="B224">
        <v>37</v>
      </c>
      <c r="C224" t="s">
        <v>15</v>
      </c>
      <c r="D224" t="s">
        <v>16</v>
      </c>
      <c r="E224" t="s">
        <v>24</v>
      </c>
      <c r="F224">
        <v>12185</v>
      </c>
      <c r="G224">
        <v>4</v>
      </c>
      <c r="H224" t="s">
        <v>14</v>
      </c>
      <c r="I224">
        <v>10</v>
      </c>
      <c r="J224" t="s">
        <v>18</v>
      </c>
      <c r="K224">
        <f>IF($J224="Yes",1,0)</f>
        <v>0</v>
      </c>
    </row>
    <row r="225" spans="1:11">
      <c r="A225">
        <v>307</v>
      </c>
      <c r="B225">
        <v>38</v>
      </c>
      <c r="C225" t="s">
        <v>15</v>
      </c>
      <c r="D225" t="s">
        <v>12</v>
      </c>
      <c r="E225" t="s">
        <v>13</v>
      </c>
      <c r="F225">
        <v>10609</v>
      </c>
      <c r="G225">
        <v>3</v>
      </c>
      <c r="H225" t="s">
        <v>18</v>
      </c>
      <c r="I225">
        <v>16</v>
      </c>
      <c r="J225" t="s">
        <v>18</v>
      </c>
      <c r="K225">
        <f>IF($J225="Yes",1,0)</f>
        <v>0</v>
      </c>
    </row>
    <row r="226" spans="1:11">
      <c r="A226">
        <v>308</v>
      </c>
      <c r="B226">
        <v>31</v>
      </c>
      <c r="C226" t="s">
        <v>15</v>
      </c>
      <c r="D226" t="s">
        <v>16</v>
      </c>
      <c r="E226" t="s">
        <v>20</v>
      </c>
      <c r="F226">
        <v>4345</v>
      </c>
      <c r="G226">
        <v>3</v>
      </c>
      <c r="H226" t="s">
        <v>18</v>
      </c>
      <c r="I226">
        <v>5</v>
      </c>
      <c r="J226" t="s">
        <v>18</v>
      </c>
      <c r="K226">
        <f>IF($J226="Yes",1,0)</f>
        <v>0</v>
      </c>
    </row>
    <row r="227" spans="1:11">
      <c r="A227">
        <v>309</v>
      </c>
      <c r="B227">
        <v>59</v>
      </c>
      <c r="C227" t="s">
        <v>15</v>
      </c>
      <c r="D227" t="s">
        <v>16</v>
      </c>
      <c r="E227" t="s">
        <v>17</v>
      </c>
      <c r="F227">
        <v>2177</v>
      </c>
      <c r="G227">
        <v>4</v>
      </c>
      <c r="H227" t="s">
        <v>18</v>
      </c>
      <c r="I227">
        <v>1</v>
      </c>
      <c r="J227" t="s">
        <v>18</v>
      </c>
      <c r="K227">
        <f>IF($J227="Yes",1,0)</f>
        <v>0</v>
      </c>
    </row>
    <row r="228" spans="1:11">
      <c r="A228">
        <v>311</v>
      </c>
      <c r="B228">
        <v>37</v>
      </c>
      <c r="C228" t="s">
        <v>15</v>
      </c>
      <c r="D228" t="s">
        <v>12</v>
      </c>
      <c r="E228" t="s">
        <v>23</v>
      </c>
      <c r="F228">
        <v>2793</v>
      </c>
      <c r="G228">
        <v>4</v>
      </c>
      <c r="H228" t="s">
        <v>18</v>
      </c>
      <c r="I228">
        <v>9</v>
      </c>
      <c r="J228" t="s">
        <v>18</v>
      </c>
      <c r="K228">
        <f>IF($J228="Yes",1,0)</f>
        <v>0</v>
      </c>
    </row>
    <row r="229" spans="1:11">
      <c r="A229">
        <v>312</v>
      </c>
      <c r="B229">
        <v>29</v>
      </c>
      <c r="C229" t="s">
        <v>11</v>
      </c>
      <c r="D229" t="s">
        <v>12</v>
      </c>
      <c r="E229" t="s">
        <v>13</v>
      </c>
      <c r="F229">
        <v>7918</v>
      </c>
      <c r="G229">
        <v>4</v>
      </c>
      <c r="H229" t="s">
        <v>18</v>
      </c>
      <c r="I229">
        <v>11</v>
      </c>
      <c r="J229" t="s">
        <v>18</v>
      </c>
      <c r="K229">
        <f>IF($J229="Yes",1,0)</f>
        <v>0</v>
      </c>
    </row>
    <row r="230" spans="1:11">
      <c r="A230">
        <v>314</v>
      </c>
      <c r="B230">
        <v>35</v>
      </c>
      <c r="C230" t="s">
        <v>11</v>
      </c>
      <c r="D230" t="s">
        <v>12</v>
      </c>
      <c r="E230" t="s">
        <v>13</v>
      </c>
      <c r="F230">
        <v>8789</v>
      </c>
      <c r="G230">
        <v>3</v>
      </c>
      <c r="H230" t="s">
        <v>18</v>
      </c>
      <c r="I230">
        <v>10</v>
      </c>
      <c r="J230" t="s">
        <v>18</v>
      </c>
      <c r="K230">
        <f>IF($J230="Yes",1,0)</f>
        <v>0</v>
      </c>
    </row>
    <row r="231" spans="1:11">
      <c r="A231">
        <v>315</v>
      </c>
      <c r="B231">
        <v>29</v>
      </c>
      <c r="C231" t="s">
        <v>15</v>
      </c>
      <c r="D231" t="s">
        <v>16</v>
      </c>
      <c r="E231" t="s">
        <v>17</v>
      </c>
      <c r="F231">
        <v>2389</v>
      </c>
      <c r="G231">
        <v>4</v>
      </c>
      <c r="H231" t="s">
        <v>14</v>
      </c>
      <c r="I231">
        <v>4</v>
      </c>
      <c r="J231" t="s">
        <v>14</v>
      </c>
      <c r="K231">
        <f>IF($J231="Yes",1,0)</f>
        <v>1</v>
      </c>
    </row>
    <row r="232" spans="1:11">
      <c r="A232">
        <v>316</v>
      </c>
      <c r="B232">
        <v>52</v>
      </c>
      <c r="C232" t="s">
        <v>11</v>
      </c>
      <c r="D232" t="s">
        <v>16</v>
      </c>
      <c r="E232" t="s">
        <v>19</v>
      </c>
      <c r="F232">
        <v>3212</v>
      </c>
      <c r="G232">
        <v>4</v>
      </c>
      <c r="H232" t="s">
        <v>18</v>
      </c>
      <c r="I232">
        <v>2</v>
      </c>
      <c r="J232" t="s">
        <v>18</v>
      </c>
      <c r="K232">
        <f>IF($J232="Yes",1,0)</f>
        <v>0</v>
      </c>
    </row>
    <row r="233" spans="1:11">
      <c r="A233">
        <v>319</v>
      </c>
      <c r="B233">
        <v>42</v>
      </c>
      <c r="C233" t="s">
        <v>15</v>
      </c>
      <c r="D233" t="s">
        <v>16</v>
      </c>
      <c r="E233" t="s">
        <v>22</v>
      </c>
      <c r="F233">
        <v>19232</v>
      </c>
      <c r="G233">
        <v>4</v>
      </c>
      <c r="H233" t="s">
        <v>18</v>
      </c>
      <c r="I233">
        <v>22</v>
      </c>
      <c r="J233" t="s">
        <v>18</v>
      </c>
      <c r="K233">
        <f>IF($J233="Yes",1,0)</f>
        <v>0</v>
      </c>
    </row>
    <row r="234" spans="1:11">
      <c r="A234">
        <v>321</v>
      </c>
      <c r="B234">
        <v>59</v>
      </c>
      <c r="C234" t="s">
        <v>15</v>
      </c>
      <c r="D234" t="s">
        <v>25</v>
      </c>
      <c r="E234" t="s">
        <v>25</v>
      </c>
      <c r="F234">
        <v>2267</v>
      </c>
      <c r="G234">
        <v>3</v>
      </c>
      <c r="H234" t="s">
        <v>18</v>
      </c>
      <c r="I234">
        <v>2</v>
      </c>
      <c r="J234" t="s">
        <v>18</v>
      </c>
      <c r="K234">
        <f>IF($J234="Yes",1,0)</f>
        <v>0</v>
      </c>
    </row>
    <row r="235" spans="1:11">
      <c r="A235">
        <v>323</v>
      </c>
      <c r="B235">
        <v>50</v>
      </c>
      <c r="C235" t="s">
        <v>11</v>
      </c>
      <c r="D235" t="s">
        <v>12</v>
      </c>
      <c r="E235" t="s">
        <v>22</v>
      </c>
      <c r="F235">
        <v>19517</v>
      </c>
      <c r="G235">
        <v>4</v>
      </c>
      <c r="H235" t="s">
        <v>18</v>
      </c>
      <c r="I235">
        <v>7</v>
      </c>
      <c r="J235" t="s">
        <v>18</v>
      </c>
      <c r="K235">
        <f>IF($J235="Yes",1,0)</f>
        <v>0</v>
      </c>
    </row>
    <row r="236" spans="1:11">
      <c r="A236">
        <v>325</v>
      </c>
      <c r="B236">
        <v>33</v>
      </c>
      <c r="C236" t="s">
        <v>15</v>
      </c>
      <c r="D236" t="s">
        <v>16</v>
      </c>
      <c r="E236" t="s">
        <v>19</v>
      </c>
      <c r="F236">
        <v>2436</v>
      </c>
      <c r="G236">
        <v>4</v>
      </c>
      <c r="H236" t="s">
        <v>14</v>
      </c>
      <c r="I236">
        <v>5</v>
      </c>
      <c r="J236" t="s">
        <v>14</v>
      </c>
      <c r="K236">
        <f>IF($J236="Yes",1,0)</f>
        <v>1</v>
      </c>
    </row>
    <row r="237" spans="1:11">
      <c r="A237">
        <v>327</v>
      </c>
      <c r="B237">
        <v>43</v>
      </c>
      <c r="C237" t="s">
        <v>11</v>
      </c>
      <c r="D237" t="s">
        <v>12</v>
      </c>
      <c r="E237" t="s">
        <v>22</v>
      </c>
      <c r="F237">
        <v>16064</v>
      </c>
      <c r="G237">
        <v>4</v>
      </c>
      <c r="H237" t="s">
        <v>14</v>
      </c>
      <c r="I237">
        <v>17</v>
      </c>
      <c r="J237" t="s">
        <v>18</v>
      </c>
      <c r="K237">
        <f>IF($J237="Yes",1,0)</f>
        <v>0</v>
      </c>
    </row>
    <row r="238" spans="1:11">
      <c r="A238">
        <v>328</v>
      </c>
      <c r="B238">
        <v>33</v>
      </c>
      <c r="C238" t="s">
        <v>11</v>
      </c>
      <c r="D238" t="s">
        <v>16</v>
      </c>
      <c r="E238" t="s">
        <v>19</v>
      </c>
      <c r="F238">
        <v>2707</v>
      </c>
      <c r="G238">
        <v>1</v>
      </c>
      <c r="H238" t="s">
        <v>18</v>
      </c>
      <c r="I238">
        <v>9</v>
      </c>
      <c r="J238" t="s">
        <v>14</v>
      </c>
      <c r="K238">
        <f>IF($J238="Yes",1,0)</f>
        <v>1</v>
      </c>
    </row>
    <row r="239" spans="1:11">
      <c r="A239">
        <v>329</v>
      </c>
      <c r="B239">
        <v>52</v>
      </c>
      <c r="C239" t="s">
        <v>15</v>
      </c>
      <c r="D239" t="s">
        <v>12</v>
      </c>
      <c r="E239" t="s">
        <v>22</v>
      </c>
      <c r="F239">
        <v>19068</v>
      </c>
      <c r="G239">
        <v>3</v>
      </c>
      <c r="H239" t="s">
        <v>14</v>
      </c>
      <c r="I239">
        <v>33</v>
      </c>
      <c r="J239" t="s">
        <v>18</v>
      </c>
      <c r="K239">
        <f>IF($J239="Yes",1,0)</f>
        <v>0</v>
      </c>
    </row>
    <row r="240" spans="1:11">
      <c r="A240">
        <v>330</v>
      </c>
      <c r="B240">
        <v>32</v>
      </c>
      <c r="C240" t="s">
        <v>11</v>
      </c>
      <c r="D240" t="s">
        <v>12</v>
      </c>
      <c r="E240" t="s">
        <v>23</v>
      </c>
      <c r="F240">
        <v>3931</v>
      </c>
      <c r="G240">
        <v>2</v>
      </c>
      <c r="H240" t="s">
        <v>18</v>
      </c>
      <c r="I240">
        <v>4</v>
      </c>
      <c r="J240" t="s">
        <v>18</v>
      </c>
      <c r="K240">
        <f>IF($J240="Yes",1,0)</f>
        <v>0</v>
      </c>
    </row>
    <row r="241" spans="1:11">
      <c r="A241">
        <v>331</v>
      </c>
      <c r="B241">
        <v>32</v>
      </c>
      <c r="C241" t="s">
        <v>15</v>
      </c>
      <c r="D241" t="s">
        <v>16</v>
      </c>
      <c r="E241" t="s">
        <v>19</v>
      </c>
      <c r="F241">
        <v>3730</v>
      </c>
      <c r="G241">
        <v>3</v>
      </c>
      <c r="H241" t="s">
        <v>14</v>
      </c>
      <c r="I241">
        <v>3</v>
      </c>
      <c r="J241" t="s">
        <v>14</v>
      </c>
      <c r="K241">
        <f>IF($J241="Yes",1,0)</f>
        <v>1</v>
      </c>
    </row>
    <row r="242" spans="1:11">
      <c r="A242">
        <v>332</v>
      </c>
      <c r="B242">
        <v>39</v>
      </c>
      <c r="C242" t="s">
        <v>11</v>
      </c>
      <c r="D242" t="s">
        <v>16</v>
      </c>
      <c r="E242" t="s">
        <v>19</v>
      </c>
      <c r="F242">
        <v>2232</v>
      </c>
      <c r="G242">
        <v>3</v>
      </c>
      <c r="H242" t="s">
        <v>18</v>
      </c>
      <c r="I242">
        <v>3</v>
      </c>
      <c r="J242" t="s">
        <v>18</v>
      </c>
      <c r="K242">
        <f>IF($J242="Yes",1,0)</f>
        <v>0</v>
      </c>
    </row>
    <row r="243" spans="1:11">
      <c r="A243">
        <v>333</v>
      </c>
      <c r="B243">
        <v>32</v>
      </c>
      <c r="C243" t="s">
        <v>15</v>
      </c>
      <c r="D243" t="s">
        <v>12</v>
      </c>
      <c r="E243" t="s">
        <v>13</v>
      </c>
      <c r="F243">
        <v>4465</v>
      </c>
      <c r="G243">
        <v>4</v>
      </c>
      <c r="H243" t="s">
        <v>18</v>
      </c>
      <c r="I243">
        <v>3</v>
      </c>
      <c r="J243" t="s">
        <v>18</v>
      </c>
      <c r="K243">
        <f>IF($J243="Yes",1,0)</f>
        <v>0</v>
      </c>
    </row>
    <row r="244" spans="1:11">
      <c r="A244">
        <v>334</v>
      </c>
      <c r="B244">
        <v>41</v>
      </c>
      <c r="C244" t="s">
        <v>15</v>
      </c>
      <c r="D244" t="s">
        <v>16</v>
      </c>
      <c r="E244" t="s">
        <v>17</v>
      </c>
      <c r="F244">
        <v>3072</v>
      </c>
      <c r="G244">
        <v>1</v>
      </c>
      <c r="H244" t="s">
        <v>18</v>
      </c>
      <c r="I244">
        <v>1</v>
      </c>
      <c r="J244" t="s">
        <v>18</v>
      </c>
      <c r="K244">
        <f>IF($J244="Yes",1,0)</f>
        <v>0</v>
      </c>
    </row>
    <row r="245" spans="1:11">
      <c r="A245">
        <v>335</v>
      </c>
      <c r="B245">
        <v>40</v>
      </c>
      <c r="C245" t="s">
        <v>15</v>
      </c>
      <c r="D245" t="s">
        <v>16</v>
      </c>
      <c r="E245" t="s">
        <v>17</v>
      </c>
      <c r="F245">
        <v>3319</v>
      </c>
      <c r="G245">
        <v>4</v>
      </c>
      <c r="H245" t="s">
        <v>18</v>
      </c>
      <c r="I245">
        <v>9</v>
      </c>
      <c r="J245" t="s">
        <v>18</v>
      </c>
      <c r="K245">
        <f>IF($J245="Yes",1,0)</f>
        <v>0</v>
      </c>
    </row>
    <row r="246" spans="1:11">
      <c r="A246">
        <v>336</v>
      </c>
      <c r="B246">
        <v>45</v>
      </c>
      <c r="C246" t="s">
        <v>15</v>
      </c>
      <c r="D246" t="s">
        <v>16</v>
      </c>
      <c r="E246" t="s">
        <v>22</v>
      </c>
      <c r="F246">
        <v>19202</v>
      </c>
      <c r="G246">
        <v>4</v>
      </c>
      <c r="H246" t="s">
        <v>18</v>
      </c>
      <c r="I246">
        <v>24</v>
      </c>
      <c r="J246" t="s">
        <v>18</v>
      </c>
      <c r="K246">
        <f>IF($J246="Yes",1,0)</f>
        <v>0</v>
      </c>
    </row>
    <row r="247" spans="1:11">
      <c r="A247">
        <v>337</v>
      </c>
      <c r="B247">
        <v>31</v>
      </c>
      <c r="C247" t="s">
        <v>15</v>
      </c>
      <c r="D247" t="s">
        <v>16</v>
      </c>
      <c r="E247" t="s">
        <v>24</v>
      </c>
      <c r="F247">
        <v>13675</v>
      </c>
      <c r="G247">
        <v>3</v>
      </c>
      <c r="H247" t="s">
        <v>18</v>
      </c>
      <c r="I247">
        <v>2</v>
      </c>
      <c r="J247" t="s">
        <v>18</v>
      </c>
      <c r="K247">
        <f>IF($J247="Yes",1,0)</f>
        <v>0</v>
      </c>
    </row>
    <row r="248" spans="1:11">
      <c r="A248">
        <v>338</v>
      </c>
      <c r="B248">
        <v>33</v>
      </c>
      <c r="C248" t="s">
        <v>11</v>
      </c>
      <c r="D248" t="s">
        <v>16</v>
      </c>
      <c r="E248" t="s">
        <v>17</v>
      </c>
      <c r="F248">
        <v>2911</v>
      </c>
      <c r="G248">
        <v>4</v>
      </c>
      <c r="H248" t="s">
        <v>18</v>
      </c>
      <c r="I248">
        <v>2</v>
      </c>
      <c r="J248" t="s">
        <v>18</v>
      </c>
      <c r="K248">
        <f>IF($J248="Yes",1,0)</f>
        <v>0</v>
      </c>
    </row>
    <row r="249" spans="1:11">
      <c r="A249">
        <v>339</v>
      </c>
      <c r="B249">
        <v>34</v>
      </c>
      <c r="C249" t="s">
        <v>15</v>
      </c>
      <c r="D249" t="s">
        <v>16</v>
      </c>
      <c r="E249" t="s">
        <v>20</v>
      </c>
      <c r="F249">
        <v>5957</v>
      </c>
      <c r="G249">
        <v>1</v>
      </c>
      <c r="H249" t="s">
        <v>18</v>
      </c>
      <c r="I249">
        <v>11</v>
      </c>
      <c r="J249" t="s">
        <v>18</v>
      </c>
      <c r="K249">
        <f>IF($J249="Yes",1,0)</f>
        <v>0</v>
      </c>
    </row>
    <row r="250" spans="1:11">
      <c r="A250">
        <v>340</v>
      </c>
      <c r="B250">
        <v>37</v>
      </c>
      <c r="C250" t="s">
        <v>11</v>
      </c>
      <c r="D250" t="s">
        <v>16</v>
      </c>
      <c r="E250" t="s">
        <v>17</v>
      </c>
      <c r="F250">
        <v>3920</v>
      </c>
      <c r="G250">
        <v>1</v>
      </c>
      <c r="H250" t="s">
        <v>18</v>
      </c>
      <c r="I250">
        <v>3</v>
      </c>
      <c r="J250" t="s">
        <v>18</v>
      </c>
      <c r="K250">
        <f>IF($J250="Yes",1,0)</f>
        <v>0</v>
      </c>
    </row>
    <row r="251" spans="1:11">
      <c r="A251">
        <v>341</v>
      </c>
      <c r="B251">
        <v>45</v>
      </c>
      <c r="C251" t="s">
        <v>15</v>
      </c>
      <c r="D251" t="s">
        <v>16</v>
      </c>
      <c r="E251" t="s">
        <v>20</v>
      </c>
      <c r="F251">
        <v>6434</v>
      </c>
      <c r="G251">
        <v>3</v>
      </c>
      <c r="H251" t="s">
        <v>18</v>
      </c>
      <c r="I251">
        <v>3</v>
      </c>
      <c r="J251" t="s">
        <v>18</v>
      </c>
      <c r="K251">
        <f>IF($J251="Yes",1,0)</f>
        <v>0</v>
      </c>
    </row>
    <row r="252" spans="1:11">
      <c r="A252">
        <v>342</v>
      </c>
      <c r="B252">
        <v>37</v>
      </c>
      <c r="C252" t="s">
        <v>15</v>
      </c>
      <c r="D252" t="s">
        <v>16</v>
      </c>
      <c r="E252" t="s">
        <v>20</v>
      </c>
      <c r="F252">
        <v>10048</v>
      </c>
      <c r="G252">
        <v>3</v>
      </c>
      <c r="H252" t="s">
        <v>18</v>
      </c>
      <c r="I252">
        <v>1</v>
      </c>
      <c r="J252" t="s">
        <v>14</v>
      </c>
      <c r="K252">
        <f>IF($J252="Yes",1,0)</f>
        <v>1</v>
      </c>
    </row>
    <row r="253" spans="1:11">
      <c r="A253">
        <v>343</v>
      </c>
      <c r="B253">
        <v>39</v>
      </c>
      <c r="C253" t="s">
        <v>11</v>
      </c>
      <c r="D253" t="s">
        <v>16</v>
      </c>
      <c r="E253" t="s">
        <v>21</v>
      </c>
      <c r="F253">
        <v>10938</v>
      </c>
      <c r="G253">
        <v>3</v>
      </c>
      <c r="H253" t="s">
        <v>18</v>
      </c>
      <c r="I253">
        <v>19</v>
      </c>
      <c r="J253" t="s">
        <v>18</v>
      </c>
      <c r="K253">
        <f>IF($J253="Yes",1,0)</f>
        <v>0</v>
      </c>
    </row>
    <row r="254" spans="1:11">
      <c r="A254">
        <v>346</v>
      </c>
      <c r="B254">
        <v>29</v>
      </c>
      <c r="C254" t="s">
        <v>15</v>
      </c>
      <c r="D254" t="s">
        <v>16</v>
      </c>
      <c r="E254" t="s">
        <v>17</v>
      </c>
      <c r="F254">
        <v>2340</v>
      </c>
      <c r="G254">
        <v>4</v>
      </c>
      <c r="H254" t="s">
        <v>18</v>
      </c>
      <c r="I254">
        <v>6</v>
      </c>
      <c r="J254" t="s">
        <v>18</v>
      </c>
      <c r="K254">
        <f>IF($J254="Yes",1,0)</f>
        <v>0</v>
      </c>
    </row>
    <row r="255" spans="1:11">
      <c r="A255">
        <v>347</v>
      </c>
      <c r="B255">
        <v>42</v>
      </c>
      <c r="C255" t="s">
        <v>11</v>
      </c>
      <c r="D255" t="s">
        <v>16</v>
      </c>
      <c r="E255" t="s">
        <v>17</v>
      </c>
      <c r="F255">
        <v>6545</v>
      </c>
      <c r="G255">
        <v>1</v>
      </c>
      <c r="H255" t="s">
        <v>14</v>
      </c>
      <c r="I255">
        <v>3</v>
      </c>
      <c r="J255" t="s">
        <v>18</v>
      </c>
      <c r="K255">
        <f>IF($J255="Yes",1,0)</f>
        <v>0</v>
      </c>
    </row>
    <row r="256" spans="1:11">
      <c r="A256">
        <v>349</v>
      </c>
      <c r="B256">
        <v>29</v>
      </c>
      <c r="C256" t="s">
        <v>15</v>
      </c>
      <c r="D256" t="s">
        <v>12</v>
      </c>
      <c r="E256" t="s">
        <v>13</v>
      </c>
      <c r="F256">
        <v>6931</v>
      </c>
      <c r="G256">
        <v>4</v>
      </c>
      <c r="H256" t="s">
        <v>18</v>
      </c>
      <c r="I256">
        <v>3</v>
      </c>
      <c r="J256" t="s">
        <v>18</v>
      </c>
      <c r="K256">
        <f>IF($J256="Yes",1,0)</f>
        <v>0</v>
      </c>
    </row>
    <row r="257" spans="1:11">
      <c r="A257">
        <v>350</v>
      </c>
      <c r="B257">
        <v>25</v>
      </c>
      <c r="C257" t="s">
        <v>11</v>
      </c>
      <c r="D257" t="s">
        <v>16</v>
      </c>
      <c r="E257" t="s">
        <v>20</v>
      </c>
      <c r="F257">
        <v>4898</v>
      </c>
      <c r="G257">
        <v>3</v>
      </c>
      <c r="H257" t="s">
        <v>18</v>
      </c>
      <c r="I257">
        <v>4</v>
      </c>
      <c r="J257" t="s">
        <v>18</v>
      </c>
      <c r="K257">
        <f>IF($J257="Yes",1,0)</f>
        <v>0</v>
      </c>
    </row>
    <row r="258" spans="1:11">
      <c r="A258">
        <v>351</v>
      </c>
      <c r="B258">
        <v>42</v>
      </c>
      <c r="C258" t="s">
        <v>11</v>
      </c>
      <c r="D258" t="s">
        <v>16</v>
      </c>
      <c r="E258" t="s">
        <v>19</v>
      </c>
      <c r="F258">
        <v>2593</v>
      </c>
      <c r="G258">
        <v>1</v>
      </c>
      <c r="H258" t="s">
        <v>14</v>
      </c>
      <c r="I258">
        <v>9</v>
      </c>
      <c r="J258" t="s">
        <v>18</v>
      </c>
      <c r="K258">
        <f>IF($J258="Yes",1,0)</f>
        <v>0</v>
      </c>
    </row>
    <row r="259" spans="1:11">
      <c r="A259">
        <v>352</v>
      </c>
      <c r="B259">
        <v>40</v>
      </c>
      <c r="C259" t="s">
        <v>15</v>
      </c>
      <c r="D259" t="s">
        <v>16</v>
      </c>
      <c r="E259" t="s">
        <v>24</v>
      </c>
      <c r="F259">
        <v>19436</v>
      </c>
      <c r="G259">
        <v>3</v>
      </c>
      <c r="H259" t="s">
        <v>18</v>
      </c>
      <c r="I259">
        <v>21</v>
      </c>
      <c r="J259" t="s">
        <v>18</v>
      </c>
      <c r="K259">
        <f>IF($J259="Yes",1,0)</f>
        <v>0</v>
      </c>
    </row>
    <row r="260" spans="1:11">
      <c r="A260">
        <v>353</v>
      </c>
      <c r="B260">
        <v>51</v>
      </c>
      <c r="C260" t="s">
        <v>15</v>
      </c>
      <c r="D260" t="s">
        <v>16</v>
      </c>
      <c r="E260" t="s">
        <v>17</v>
      </c>
      <c r="F260">
        <v>2723</v>
      </c>
      <c r="G260">
        <v>4</v>
      </c>
      <c r="H260" t="s">
        <v>18</v>
      </c>
      <c r="I260">
        <v>1</v>
      </c>
      <c r="J260" t="s">
        <v>18</v>
      </c>
      <c r="K260">
        <f>IF($J260="Yes",1,0)</f>
        <v>0</v>
      </c>
    </row>
    <row r="261" spans="1:11">
      <c r="A261">
        <v>355</v>
      </c>
      <c r="B261">
        <v>31</v>
      </c>
      <c r="C261" t="s">
        <v>15</v>
      </c>
      <c r="D261" t="s">
        <v>16</v>
      </c>
      <c r="E261" t="s">
        <v>19</v>
      </c>
      <c r="F261">
        <v>3479</v>
      </c>
      <c r="G261">
        <v>2</v>
      </c>
      <c r="H261" t="s">
        <v>18</v>
      </c>
      <c r="I261">
        <v>5</v>
      </c>
      <c r="J261" t="s">
        <v>14</v>
      </c>
      <c r="K261">
        <f>IF($J261="Yes",1,0)</f>
        <v>1</v>
      </c>
    </row>
    <row r="262" spans="1:11">
      <c r="A262">
        <v>359</v>
      </c>
      <c r="B262">
        <v>32</v>
      </c>
      <c r="C262" t="s">
        <v>15</v>
      </c>
      <c r="D262" t="s">
        <v>16</v>
      </c>
      <c r="E262" t="s">
        <v>19</v>
      </c>
      <c r="F262">
        <v>2794</v>
      </c>
      <c r="G262">
        <v>2</v>
      </c>
      <c r="H262" t="s">
        <v>18</v>
      </c>
      <c r="I262">
        <v>5</v>
      </c>
      <c r="J262" t="s">
        <v>18</v>
      </c>
      <c r="K262">
        <f>IF($J262="Yes",1,0)</f>
        <v>0</v>
      </c>
    </row>
    <row r="263" spans="1:11">
      <c r="A263">
        <v>361</v>
      </c>
      <c r="B263">
        <v>38</v>
      </c>
      <c r="C263" t="s">
        <v>15</v>
      </c>
      <c r="D263" t="s">
        <v>12</v>
      </c>
      <c r="E263" t="s">
        <v>13</v>
      </c>
      <c r="F263">
        <v>5249</v>
      </c>
      <c r="G263">
        <v>4</v>
      </c>
      <c r="H263" t="s">
        <v>18</v>
      </c>
      <c r="I263">
        <v>8</v>
      </c>
      <c r="J263" t="s">
        <v>18</v>
      </c>
      <c r="K263">
        <f>IF($J263="Yes",1,0)</f>
        <v>0</v>
      </c>
    </row>
    <row r="264" spans="1:11">
      <c r="A264">
        <v>362</v>
      </c>
      <c r="B264">
        <v>32</v>
      </c>
      <c r="C264" t="s">
        <v>15</v>
      </c>
      <c r="D264" t="s">
        <v>16</v>
      </c>
      <c r="E264" t="s">
        <v>19</v>
      </c>
      <c r="F264">
        <v>2176</v>
      </c>
      <c r="G264">
        <v>1</v>
      </c>
      <c r="H264" t="s">
        <v>18</v>
      </c>
      <c r="I264">
        <v>6</v>
      </c>
      <c r="J264" t="s">
        <v>18</v>
      </c>
      <c r="K264">
        <f>IF($J264="Yes",1,0)</f>
        <v>0</v>
      </c>
    </row>
    <row r="265" spans="1:11">
      <c r="A265">
        <v>363</v>
      </c>
      <c r="B265">
        <v>46</v>
      </c>
      <c r="C265" t="s">
        <v>11</v>
      </c>
      <c r="D265" t="s">
        <v>12</v>
      </c>
      <c r="E265" t="s">
        <v>22</v>
      </c>
      <c r="F265">
        <v>16872</v>
      </c>
      <c r="G265">
        <v>2</v>
      </c>
      <c r="H265" t="s">
        <v>14</v>
      </c>
      <c r="I265">
        <v>7</v>
      </c>
      <c r="J265" t="s">
        <v>18</v>
      </c>
      <c r="K265">
        <f>IF($J265="Yes",1,0)</f>
        <v>0</v>
      </c>
    </row>
    <row r="266" spans="1:11">
      <c r="A266">
        <v>364</v>
      </c>
      <c r="B266">
        <v>28</v>
      </c>
      <c r="C266" t="s">
        <v>15</v>
      </c>
      <c r="D266" t="s">
        <v>16</v>
      </c>
      <c r="E266" t="s">
        <v>19</v>
      </c>
      <c r="F266">
        <v>3485</v>
      </c>
      <c r="G266">
        <v>3</v>
      </c>
      <c r="H266" t="s">
        <v>18</v>
      </c>
      <c r="I266">
        <v>0</v>
      </c>
      <c r="J266" t="s">
        <v>14</v>
      </c>
      <c r="K266">
        <f>IF($J266="Yes",1,0)</f>
        <v>1</v>
      </c>
    </row>
    <row r="267" spans="1:11">
      <c r="A267">
        <v>366</v>
      </c>
      <c r="B267">
        <v>29</v>
      </c>
      <c r="C267" t="s">
        <v>15</v>
      </c>
      <c r="D267" t="s">
        <v>12</v>
      </c>
      <c r="E267" t="s">
        <v>13</v>
      </c>
      <c r="F267">
        <v>6644</v>
      </c>
      <c r="G267">
        <v>2</v>
      </c>
      <c r="H267" t="s">
        <v>18</v>
      </c>
      <c r="I267">
        <v>0</v>
      </c>
      <c r="J267" t="s">
        <v>18</v>
      </c>
      <c r="K267">
        <f>IF($J267="Yes",1,0)</f>
        <v>0</v>
      </c>
    </row>
    <row r="268" spans="1:11">
      <c r="A268">
        <v>367</v>
      </c>
      <c r="B268">
        <v>31</v>
      </c>
      <c r="C268" t="s">
        <v>15</v>
      </c>
      <c r="D268" t="s">
        <v>16</v>
      </c>
      <c r="E268" t="s">
        <v>21</v>
      </c>
      <c r="F268">
        <v>5582</v>
      </c>
      <c r="G268">
        <v>4</v>
      </c>
      <c r="H268" t="s">
        <v>18</v>
      </c>
      <c r="I268">
        <v>9</v>
      </c>
      <c r="J268" t="s">
        <v>18</v>
      </c>
      <c r="K268">
        <f>IF($J268="Yes",1,0)</f>
        <v>0</v>
      </c>
    </row>
    <row r="269" spans="1:11">
      <c r="A269">
        <v>369</v>
      </c>
      <c r="B269">
        <v>25</v>
      </c>
      <c r="C269" t="s">
        <v>15</v>
      </c>
      <c r="D269" t="s">
        <v>16</v>
      </c>
      <c r="E269" t="s">
        <v>21</v>
      </c>
      <c r="F269">
        <v>4000</v>
      </c>
      <c r="G269">
        <v>1</v>
      </c>
      <c r="H269" t="s">
        <v>18</v>
      </c>
      <c r="I269">
        <v>6</v>
      </c>
      <c r="J269" t="s">
        <v>18</v>
      </c>
      <c r="K269">
        <f>IF($J269="Yes",1,0)</f>
        <v>0</v>
      </c>
    </row>
    <row r="270" spans="1:11">
      <c r="A270">
        <v>372</v>
      </c>
      <c r="B270">
        <v>45</v>
      </c>
      <c r="C270" t="s">
        <v>15</v>
      </c>
      <c r="D270" t="s">
        <v>16</v>
      </c>
      <c r="E270" t="s">
        <v>21</v>
      </c>
      <c r="F270">
        <v>13496</v>
      </c>
      <c r="G270">
        <v>4</v>
      </c>
      <c r="H270" t="s">
        <v>14</v>
      </c>
      <c r="I270">
        <v>20</v>
      </c>
      <c r="J270" t="s">
        <v>18</v>
      </c>
      <c r="K270">
        <f>IF($J270="Yes",1,0)</f>
        <v>0</v>
      </c>
    </row>
    <row r="271" spans="1:11">
      <c r="A271">
        <v>373</v>
      </c>
      <c r="B271">
        <v>36</v>
      </c>
      <c r="C271" t="s">
        <v>15</v>
      </c>
      <c r="D271" t="s">
        <v>16</v>
      </c>
      <c r="E271" t="s">
        <v>19</v>
      </c>
      <c r="F271">
        <v>3210</v>
      </c>
      <c r="G271">
        <v>4</v>
      </c>
      <c r="H271" t="s">
        <v>18</v>
      </c>
      <c r="I271">
        <v>15</v>
      </c>
      <c r="J271" t="s">
        <v>18</v>
      </c>
      <c r="K271">
        <f>IF($J271="Yes",1,0)</f>
        <v>0</v>
      </c>
    </row>
    <row r="272" spans="1:11">
      <c r="A272">
        <v>374</v>
      </c>
      <c r="B272">
        <v>55</v>
      </c>
      <c r="C272" t="s">
        <v>15</v>
      </c>
      <c r="D272" t="s">
        <v>16</v>
      </c>
      <c r="E272" t="s">
        <v>22</v>
      </c>
      <c r="F272">
        <v>19045</v>
      </c>
      <c r="G272">
        <v>1</v>
      </c>
      <c r="H272" t="s">
        <v>14</v>
      </c>
      <c r="I272">
        <v>36</v>
      </c>
      <c r="J272" t="s">
        <v>18</v>
      </c>
      <c r="K272">
        <f>IF($J272="Yes",1,0)</f>
        <v>0</v>
      </c>
    </row>
    <row r="273" spans="1:11">
      <c r="A273">
        <v>376</v>
      </c>
      <c r="B273">
        <v>47</v>
      </c>
      <c r="C273" t="s">
        <v>15</v>
      </c>
      <c r="D273" t="s">
        <v>16</v>
      </c>
      <c r="E273" t="s">
        <v>22</v>
      </c>
      <c r="F273">
        <v>11849</v>
      </c>
      <c r="G273">
        <v>2</v>
      </c>
      <c r="H273" t="s">
        <v>14</v>
      </c>
      <c r="I273">
        <v>10</v>
      </c>
      <c r="J273" t="s">
        <v>14</v>
      </c>
      <c r="K273">
        <f>IF($J273="Yes",1,0)</f>
        <v>1</v>
      </c>
    </row>
    <row r="274" spans="1:11">
      <c r="A274">
        <v>377</v>
      </c>
      <c r="B274">
        <v>28</v>
      </c>
      <c r="C274" t="s">
        <v>15</v>
      </c>
      <c r="D274" t="s">
        <v>16</v>
      </c>
      <c r="E274" t="s">
        <v>17</v>
      </c>
      <c r="F274">
        <v>2070</v>
      </c>
      <c r="G274">
        <v>4</v>
      </c>
      <c r="H274" t="s">
        <v>18</v>
      </c>
      <c r="I274">
        <v>5</v>
      </c>
      <c r="J274" t="s">
        <v>18</v>
      </c>
      <c r="K274">
        <f>IF($J274="Yes",1,0)</f>
        <v>0</v>
      </c>
    </row>
    <row r="275" spans="1:11">
      <c r="A275">
        <v>378</v>
      </c>
      <c r="B275">
        <v>37</v>
      </c>
      <c r="C275" t="s">
        <v>15</v>
      </c>
      <c r="D275" t="s">
        <v>12</v>
      </c>
      <c r="E275" t="s">
        <v>13</v>
      </c>
      <c r="F275">
        <v>6502</v>
      </c>
      <c r="G275">
        <v>4</v>
      </c>
      <c r="H275" t="s">
        <v>18</v>
      </c>
      <c r="I275">
        <v>5</v>
      </c>
      <c r="J275" t="s">
        <v>18</v>
      </c>
      <c r="K275">
        <f>IF($J275="Yes",1,0)</f>
        <v>0</v>
      </c>
    </row>
    <row r="276" spans="1:11">
      <c r="A276">
        <v>379</v>
      </c>
      <c r="B276">
        <v>21</v>
      </c>
      <c r="C276" t="s">
        <v>15</v>
      </c>
      <c r="D276" t="s">
        <v>16</v>
      </c>
      <c r="E276" t="s">
        <v>17</v>
      </c>
      <c r="F276">
        <v>3230</v>
      </c>
      <c r="G276">
        <v>3</v>
      </c>
      <c r="H276" t="s">
        <v>18</v>
      </c>
      <c r="I276">
        <v>3</v>
      </c>
      <c r="J276" t="s">
        <v>18</v>
      </c>
      <c r="K276">
        <f>IF($J276="Yes",1,0)</f>
        <v>0</v>
      </c>
    </row>
    <row r="277" spans="1:11">
      <c r="A277">
        <v>380</v>
      </c>
      <c r="B277">
        <v>37</v>
      </c>
      <c r="C277" t="s">
        <v>11</v>
      </c>
      <c r="D277" t="s">
        <v>16</v>
      </c>
      <c r="E277" t="s">
        <v>24</v>
      </c>
      <c r="F277">
        <v>13603</v>
      </c>
      <c r="G277">
        <v>4</v>
      </c>
      <c r="H277" t="s">
        <v>14</v>
      </c>
      <c r="I277">
        <v>5</v>
      </c>
      <c r="J277" t="s">
        <v>18</v>
      </c>
      <c r="K277">
        <f>IF($J277="Yes",1,0)</f>
        <v>0</v>
      </c>
    </row>
    <row r="278" spans="1:11">
      <c r="A278">
        <v>381</v>
      </c>
      <c r="B278">
        <v>35</v>
      </c>
      <c r="C278" t="s">
        <v>11</v>
      </c>
      <c r="D278" t="s">
        <v>16</v>
      </c>
      <c r="E278" t="s">
        <v>22</v>
      </c>
      <c r="F278">
        <v>11996</v>
      </c>
      <c r="G278">
        <v>2</v>
      </c>
      <c r="H278" t="s">
        <v>18</v>
      </c>
      <c r="I278">
        <v>7</v>
      </c>
      <c r="J278" t="s">
        <v>18</v>
      </c>
      <c r="K278">
        <f>IF($J278="Yes",1,0)</f>
        <v>0</v>
      </c>
    </row>
    <row r="279" spans="1:11">
      <c r="A279">
        <v>382</v>
      </c>
      <c r="B279">
        <v>38</v>
      </c>
      <c r="C279" t="s">
        <v>11</v>
      </c>
      <c r="D279" t="s">
        <v>12</v>
      </c>
      <c r="E279" t="s">
        <v>13</v>
      </c>
      <c r="F279">
        <v>5605</v>
      </c>
      <c r="G279">
        <v>1</v>
      </c>
      <c r="H279" t="s">
        <v>14</v>
      </c>
      <c r="I279">
        <v>8</v>
      </c>
      <c r="J279" t="s">
        <v>18</v>
      </c>
      <c r="K279">
        <f>IF($J279="Yes",1,0)</f>
        <v>0</v>
      </c>
    </row>
    <row r="280" spans="1:11">
      <c r="A280">
        <v>384</v>
      </c>
      <c r="B280">
        <v>26</v>
      </c>
      <c r="C280" t="s">
        <v>11</v>
      </c>
      <c r="D280" t="s">
        <v>16</v>
      </c>
      <c r="E280" t="s">
        <v>20</v>
      </c>
      <c r="F280">
        <v>6397</v>
      </c>
      <c r="G280">
        <v>2</v>
      </c>
      <c r="H280" t="s">
        <v>18</v>
      </c>
      <c r="I280">
        <v>6</v>
      </c>
      <c r="J280" t="s">
        <v>18</v>
      </c>
      <c r="K280">
        <f>IF($J280="Yes",1,0)</f>
        <v>0</v>
      </c>
    </row>
    <row r="281" spans="1:11">
      <c r="A281">
        <v>385</v>
      </c>
      <c r="B281">
        <v>50</v>
      </c>
      <c r="C281" t="s">
        <v>15</v>
      </c>
      <c r="D281" t="s">
        <v>16</v>
      </c>
      <c r="E281" t="s">
        <v>24</v>
      </c>
      <c r="F281">
        <v>19144</v>
      </c>
      <c r="G281">
        <v>2</v>
      </c>
      <c r="H281" t="s">
        <v>18</v>
      </c>
      <c r="I281">
        <v>10</v>
      </c>
      <c r="J281" t="s">
        <v>18</v>
      </c>
      <c r="K281">
        <f>IF($J281="Yes",1,0)</f>
        <v>0</v>
      </c>
    </row>
    <row r="282" spans="1:11">
      <c r="A282">
        <v>386</v>
      </c>
      <c r="B282">
        <v>53</v>
      </c>
      <c r="C282" t="s">
        <v>15</v>
      </c>
      <c r="D282" t="s">
        <v>16</v>
      </c>
      <c r="E282" t="s">
        <v>24</v>
      </c>
      <c r="F282">
        <v>17584</v>
      </c>
      <c r="G282">
        <v>3</v>
      </c>
      <c r="H282" t="s">
        <v>14</v>
      </c>
      <c r="I282">
        <v>5</v>
      </c>
      <c r="J282" t="s">
        <v>18</v>
      </c>
      <c r="K282">
        <f>IF($J282="Yes",1,0)</f>
        <v>0</v>
      </c>
    </row>
    <row r="283" spans="1:11">
      <c r="A283">
        <v>387</v>
      </c>
      <c r="B283">
        <v>42</v>
      </c>
      <c r="C283" t="s">
        <v>15</v>
      </c>
      <c r="D283" t="s">
        <v>12</v>
      </c>
      <c r="E283" t="s">
        <v>13</v>
      </c>
      <c r="F283">
        <v>4907</v>
      </c>
      <c r="G283">
        <v>3</v>
      </c>
      <c r="H283" t="s">
        <v>18</v>
      </c>
      <c r="I283">
        <v>20</v>
      </c>
      <c r="J283" t="s">
        <v>18</v>
      </c>
      <c r="K283">
        <f>IF($J283="Yes",1,0)</f>
        <v>0</v>
      </c>
    </row>
    <row r="284" spans="1:11">
      <c r="A284">
        <v>388</v>
      </c>
      <c r="B284">
        <v>29</v>
      </c>
      <c r="C284" t="s">
        <v>15</v>
      </c>
      <c r="D284" t="s">
        <v>12</v>
      </c>
      <c r="E284" t="s">
        <v>13</v>
      </c>
      <c r="F284">
        <v>4554</v>
      </c>
      <c r="G284">
        <v>4</v>
      </c>
      <c r="H284" t="s">
        <v>18</v>
      </c>
      <c r="I284">
        <v>10</v>
      </c>
      <c r="J284" t="s">
        <v>18</v>
      </c>
      <c r="K284">
        <f>IF($J284="Yes",1,0)</f>
        <v>0</v>
      </c>
    </row>
    <row r="285" spans="1:11">
      <c r="A285">
        <v>389</v>
      </c>
      <c r="B285">
        <v>55</v>
      </c>
      <c r="C285" t="s">
        <v>15</v>
      </c>
      <c r="D285" t="s">
        <v>16</v>
      </c>
      <c r="E285" t="s">
        <v>19</v>
      </c>
      <c r="F285">
        <v>5415</v>
      </c>
      <c r="G285">
        <v>4</v>
      </c>
      <c r="H285" t="s">
        <v>14</v>
      </c>
      <c r="I285">
        <v>10</v>
      </c>
      <c r="J285" t="s">
        <v>18</v>
      </c>
      <c r="K285">
        <f>IF($J285="Yes",1,0)</f>
        <v>0</v>
      </c>
    </row>
    <row r="286" spans="1:11">
      <c r="A286">
        <v>390</v>
      </c>
      <c r="B286">
        <v>26</v>
      </c>
      <c r="C286" t="s">
        <v>15</v>
      </c>
      <c r="D286" t="s">
        <v>16</v>
      </c>
      <c r="E286" t="s">
        <v>21</v>
      </c>
      <c r="F286">
        <v>4741</v>
      </c>
      <c r="G286">
        <v>1</v>
      </c>
      <c r="H286" t="s">
        <v>14</v>
      </c>
      <c r="I286">
        <v>5</v>
      </c>
      <c r="J286" t="s">
        <v>18</v>
      </c>
      <c r="K286">
        <f>IF($J286="Yes",1,0)</f>
        <v>0</v>
      </c>
    </row>
    <row r="287" spans="1:11">
      <c r="A287">
        <v>391</v>
      </c>
      <c r="B287">
        <v>37</v>
      </c>
      <c r="C287" t="s">
        <v>11</v>
      </c>
      <c r="D287" t="s">
        <v>16</v>
      </c>
      <c r="E287" t="s">
        <v>17</v>
      </c>
      <c r="F287">
        <v>2115</v>
      </c>
      <c r="G287">
        <v>4</v>
      </c>
      <c r="H287" t="s">
        <v>18</v>
      </c>
      <c r="I287">
        <v>17</v>
      </c>
      <c r="J287" t="s">
        <v>18</v>
      </c>
      <c r="K287">
        <f>IF($J287="Yes",1,0)</f>
        <v>0</v>
      </c>
    </row>
    <row r="288" spans="1:11">
      <c r="A288">
        <v>392</v>
      </c>
      <c r="B288">
        <v>44</v>
      </c>
      <c r="C288" t="s">
        <v>15</v>
      </c>
      <c r="D288" t="s">
        <v>16</v>
      </c>
      <c r="E288" t="s">
        <v>19</v>
      </c>
      <c r="F288">
        <v>3161</v>
      </c>
      <c r="G288">
        <v>3</v>
      </c>
      <c r="H288" t="s">
        <v>14</v>
      </c>
      <c r="I288">
        <v>1</v>
      </c>
      <c r="J288" t="s">
        <v>14</v>
      </c>
      <c r="K288">
        <f>IF($J288="Yes",1,0)</f>
        <v>1</v>
      </c>
    </row>
    <row r="289" spans="1:11">
      <c r="A289">
        <v>393</v>
      </c>
      <c r="B289">
        <v>38</v>
      </c>
      <c r="C289" t="s">
        <v>15</v>
      </c>
      <c r="D289" t="s">
        <v>16</v>
      </c>
      <c r="E289" t="s">
        <v>21</v>
      </c>
      <c r="F289">
        <v>5745</v>
      </c>
      <c r="G289">
        <v>4</v>
      </c>
      <c r="H289" t="s">
        <v>18</v>
      </c>
      <c r="I289">
        <v>2</v>
      </c>
      <c r="J289" t="s">
        <v>18</v>
      </c>
      <c r="K289">
        <f>IF($J289="Yes",1,0)</f>
        <v>0</v>
      </c>
    </row>
    <row r="290" spans="1:11">
      <c r="A290">
        <v>394</v>
      </c>
      <c r="B290">
        <v>26</v>
      </c>
      <c r="C290" t="s">
        <v>15</v>
      </c>
      <c r="D290" t="s">
        <v>16</v>
      </c>
      <c r="E290" t="s">
        <v>19</v>
      </c>
      <c r="F290">
        <v>2373</v>
      </c>
      <c r="G290">
        <v>2</v>
      </c>
      <c r="H290" t="s">
        <v>14</v>
      </c>
      <c r="I290">
        <v>3</v>
      </c>
      <c r="J290" t="s">
        <v>14</v>
      </c>
      <c r="K290">
        <f>IF($J290="Yes",1,0)</f>
        <v>1</v>
      </c>
    </row>
    <row r="291" spans="1:11">
      <c r="A291">
        <v>395</v>
      </c>
      <c r="B291">
        <v>28</v>
      </c>
      <c r="C291" t="s">
        <v>11</v>
      </c>
      <c r="D291" t="s">
        <v>16</v>
      </c>
      <c r="E291" t="s">
        <v>17</v>
      </c>
      <c r="F291">
        <v>3310</v>
      </c>
      <c r="G291">
        <v>4</v>
      </c>
      <c r="H291" t="s">
        <v>18</v>
      </c>
      <c r="I291">
        <v>5</v>
      </c>
      <c r="J291" t="s">
        <v>18</v>
      </c>
      <c r="K291">
        <f>IF($J291="Yes",1,0)</f>
        <v>0</v>
      </c>
    </row>
    <row r="292" spans="1:11">
      <c r="A292">
        <v>396</v>
      </c>
      <c r="B292">
        <v>49</v>
      </c>
      <c r="C292" t="s">
        <v>11</v>
      </c>
      <c r="D292" t="s">
        <v>16</v>
      </c>
      <c r="E292" t="s">
        <v>24</v>
      </c>
      <c r="F292">
        <v>18665</v>
      </c>
      <c r="G292">
        <v>1</v>
      </c>
      <c r="H292" t="s">
        <v>14</v>
      </c>
      <c r="I292">
        <v>3</v>
      </c>
      <c r="J292" t="s">
        <v>18</v>
      </c>
      <c r="K292">
        <f>IF($J292="Yes",1,0)</f>
        <v>0</v>
      </c>
    </row>
    <row r="293" spans="1:11">
      <c r="A293">
        <v>397</v>
      </c>
      <c r="B293">
        <v>36</v>
      </c>
      <c r="C293" t="s">
        <v>15</v>
      </c>
      <c r="D293" t="s">
        <v>16</v>
      </c>
      <c r="E293" t="s">
        <v>17</v>
      </c>
      <c r="F293">
        <v>4485</v>
      </c>
      <c r="G293">
        <v>2</v>
      </c>
      <c r="H293" t="s">
        <v>18</v>
      </c>
      <c r="I293">
        <v>8</v>
      </c>
      <c r="J293" t="s">
        <v>18</v>
      </c>
      <c r="K293">
        <f>IF($J293="Yes",1,0)</f>
        <v>0</v>
      </c>
    </row>
    <row r="294" spans="1:11">
      <c r="A294">
        <v>399</v>
      </c>
      <c r="B294">
        <v>31</v>
      </c>
      <c r="C294" t="s">
        <v>11</v>
      </c>
      <c r="D294" t="s">
        <v>12</v>
      </c>
      <c r="E294" t="s">
        <v>23</v>
      </c>
      <c r="F294">
        <v>2789</v>
      </c>
      <c r="G294">
        <v>2</v>
      </c>
      <c r="H294" t="s">
        <v>18</v>
      </c>
      <c r="I294">
        <v>2</v>
      </c>
      <c r="J294" t="s">
        <v>18</v>
      </c>
      <c r="K294">
        <f>IF($J294="Yes",1,0)</f>
        <v>0</v>
      </c>
    </row>
    <row r="295" spans="1:11">
      <c r="A295">
        <v>401</v>
      </c>
      <c r="B295">
        <v>26</v>
      </c>
      <c r="C295" t="s">
        <v>15</v>
      </c>
      <c r="D295" t="s">
        <v>12</v>
      </c>
      <c r="E295" t="s">
        <v>13</v>
      </c>
      <c r="F295">
        <v>5828</v>
      </c>
      <c r="G295">
        <v>4</v>
      </c>
      <c r="H295" t="s">
        <v>14</v>
      </c>
      <c r="I295">
        <v>8</v>
      </c>
      <c r="J295" t="s">
        <v>14</v>
      </c>
      <c r="K295">
        <f>IF($J295="Yes",1,0)</f>
        <v>1</v>
      </c>
    </row>
    <row r="296" spans="1:11">
      <c r="A296">
        <v>403</v>
      </c>
      <c r="B296">
        <v>37</v>
      </c>
      <c r="C296" t="s">
        <v>15</v>
      </c>
      <c r="D296" t="s">
        <v>16</v>
      </c>
      <c r="E296" t="s">
        <v>17</v>
      </c>
      <c r="F296">
        <v>2326</v>
      </c>
      <c r="G296">
        <v>4</v>
      </c>
      <c r="H296" t="s">
        <v>14</v>
      </c>
      <c r="I296">
        <v>4</v>
      </c>
      <c r="J296" t="s">
        <v>18</v>
      </c>
      <c r="K296">
        <f>IF($J296="Yes",1,0)</f>
        <v>0</v>
      </c>
    </row>
    <row r="297" spans="1:11">
      <c r="A297">
        <v>404</v>
      </c>
      <c r="B297">
        <v>42</v>
      </c>
      <c r="C297" t="s">
        <v>11</v>
      </c>
      <c r="D297" t="s">
        <v>12</v>
      </c>
      <c r="E297" t="s">
        <v>13</v>
      </c>
      <c r="F297">
        <v>13525</v>
      </c>
      <c r="G297">
        <v>2</v>
      </c>
      <c r="H297" t="s">
        <v>18</v>
      </c>
      <c r="I297">
        <v>20</v>
      </c>
      <c r="J297" t="s">
        <v>18</v>
      </c>
      <c r="K297">
        <f>IF($J297="Yes",1,0)</f>
        <v>0</v>
      </c>
    </row>
    <row r="298" spans="1:11">
      <c r="A298">
        <v>405</v>
      </c>
      <c r="B298">
        <v>18</v>
      </c>
      <c r="C298" t="s">
        <v>15</v>
      </c>
      <c r="D298" t="s">
        <v>16</v>
      </c>
      <c r="E298" t="s">
        <v>19</v>
      </c>
      <c r="F298">
        <v>1420</v>
      </c>
      <c r="G298">
        <v>3</v>
      </c>
      <c r="H298" t="s">
        <v>18</v>
      </c>
      <c r="I298">
        <v>0</v>
      </c>
      <c r="J298" t="s">
        <v>14</v>
      </c>
      <c r="K298">
        <f>IF($J298="Yes",1,0)</f>
        <v>1</v>
      </c>
    </row>
    <row r="299" spans="1:11">
      <c r="A299">
        <v>406</v>
      </c>
      <c r="B299">
        <v>35</v>
      </c>
      <c r="C299" t="s">
        <v>15</v>
      </c>
      <c r="D299" t="s">
        <v>12</v>
      </c>
      <c r="E299" t="s">
        <v>13</v>
      </c>
      <c r="F299">
        <v>8020</v>
      </c>
      <c r="G299">
        <v>2</v>
      </c>
      <c r="H299" t="s">
        <v>18</v>
      </c>
      <c r="I299">
        <v>11</v>
      </c>
      <c r="J299" t="s">
        <v>18</v>
      </c>
      <c r="K299">
        <f>IF($J299="Yes",1,0)</f>
        <v>0</v>
      </c>
    </row>
    <row r="300" spans="1:11">
      <c r="A300">
        <v>407</v>
      </c>
      <c r="B300">
        <v>36</v>
      </c>
      <c r="C300" t="s">
        <v>15</v>
      </c>
      <c r="D300" t="s">
        <v>16</v>
      </c>
      <c r="E300" t="s">
        <v>19</v>
      </c>
      <c r="F300">
        <v>3688</v>
      </c>
      <c r="G300">
        <v>4</v>
      </c>
      <c r="H300" t="s">
        <v>18</v>
      </c>
      <c r="I300">
        <v>1</v>
      </c>
      <c r="J300" t="s">
        <v>18</v>
      </c>
      <c r="K300">
        <f>IF($J300="Yes",1,0)</f>
        <v>0</v>
      </c>
    </row>
    <row r="301" spans="1:11">
      <c r="A301">
        <v>408</v>
      </c>
      <c r="B301">
        <v>51</v>
      </c>
      <c r="C301" t="s">
        <v>15</v>
      </c>
      <c r="D301" t="s">
        <v>16</v>
      </c>
      <c r="E301" t="s">
        <v>20</v>
      </c>
      <c r="F301">
        <v>5482</v>
      </c>
      <c r="G301">
        <v>2</v>
      </c>
      <c r="H301" t="s">
        <v>18</v>
      </c>
      <c r="I301">
        <v>4</v>
      </c>
      <c r="J301" t="s">
        <v>18</v>
      </c>
      <c r="K301">
        <f>IF($J301="Yes",1,0)</f>
        <v>0</v>
      </c>
    </row>
    <row r="302" spans="1:11">
      <c r="A302">
        <v>410</v>
      </c>
      <c r="B302">
        <v>41</v>
      </c>
      <c r="C302" t="s">
        <v>15</v>
      </c>
      <c r="D302" t="s">
        <v>12</v>
      </c>
      <c r="E302" t="s">
        <v>22</v>
      </c>
      <c r="F302">
        <v>16015</v>
      </c>
      <c r="G302">
        <v>2</v>
      </c>
      <c r="H302" t="s">
        <v>18</v>
      </c>
      <c r="I302">
        <v>22</v>
      </c>
      <c r="J302" t="s">
        <v>18</v>
      </c>
      <c r="K302">
        <f>IF($J302="Yes",1,0)</f>
        <v>0</v>
      </c>
    </row>
    <row r="303" spans="1:11">
      <c r="A303">
        <v>411</v>
      </c>
      <c r="B303">
        <v>18</v>
      </c>
      <c r="C303" t="s">
        <v>11</v>
      </c>
      <c r="D303" t="s">
        <v>12</v>
      </c>
      <c r="E303" t="s">
        <v>23</v>
      </c>
      <c r="F303">
        <v>1200</v>
      </c>
      <c r="G303">
        <v>3</v>
      </c>
      <c r="H303" t="s">
        <v>18</v>
      </c>
      <c r="I303">
        <v>0</v>
      </c>
      <c r="J303" t="s">
        <v>18</v>
      </c>
      <c r="K303">
        <f>IF($J303="Yes",1,0)</f>
        <v>0</v>
      </c>
    </row>
    <row r="304" spans="1:11">
      <c r="A304">
        <v>412</v>
      </c>
      <c r="B304">
        <v>28</v>
      </c>
      <c r="C304" t="s">
        <v>15</v>
      </c>
      <c r="D304" t="s">
        <v>16</v>
      </c>
      <c r="E304" t="s">
        <v>21</v>
      </c>
      <c r="F304">
        <v>5661</v>
      </c>
      <c r="G304">
        <v>1</v>
      </c>
      <c r="H304" t="s">
        <v>18</v>
      </c>
      <c r="I304">
        <v>8</v>
      </c>
      <c r="J304" t="s">
        <v>18</v>
      </c>
      <c r="K304">
        <f>IF($J304="Yes",1,0)</f>
        <v>0</v>
      </c>
    </row>
    <row r="305" spans="1:11">
      <c r="A305">
        <v>416</v>
      </c>
      <c r="B305">
        <v>31</v>
      </c>
      <c r="C305" t="s">
        <v>15</v>
      </c>
      <c r="D305" t="s">
        <v>12</v>
      </c>
      <c r="E305" t="s">
        <v>13</v>
      </c>
      <c r="F305">
        <v>6929</v>
      </c>
      <c r="G305">
        <v>4</v>
      </c>
      <c r="H305" t="s">
        <v>18</v>
      </c>
      <c r="I305">
        <v>8</v>
      </c>
      <c r="J305" t="s">
        <v>18</v>
      </c>
      <c r="K305">
        <f>IF($J305="Yes",1,0)</f>
        <v>0</v>
      </c>
    </row>
    <row r="306" spans="1:11">
      <c r="A306">
        <v>417</v>
      </c>
      <c r="B306">
        <v>39</v>
      </c>
      <c r="C306" t="s">
        <v>15</v>
      </c>
      <c r="D306" t="s">
        <v>16</v>
      </c>
      <c r="E306" t="s">
        <v>21</v>
      </c>
      <c r="F306">
        <v>9613</v>
      </c>
      <c r="G306">
        <v>4</v>
      </c>
      <c r="H306" t="s">
        <v>18</v>
      </c>
      <c r="I306">
        <v>18</v>
      </c>
      <c r="J306" t="s">
        <v>18</v>
      </c>
      <c r="K306">
        <f>IF($J306="Yes",1,0)</f>
        <v>0</v>
      </c>
    </row>
    <row r="307" spans="1:11">
      <c r="A307">
        <v>419</v>
      </c>
      <c r="B307">
        <v>36</v>
      </c>
      <c r="C307" t="s">
        <v>11</v>
      </c>
      <c r="D307" t="s">
        <v>16</v>
      </c>
      <c r="E307" t="s">
        <v>19</v>
      </c>
      <c r="F307">
        <v>5674</v>
      </c>
      <c r="G307">
        <v>2</v>
      </c>
      <c r="H307" t="s">
        <v>18</v>
      </c>
      <c r="I307">
        <v>9</v>
      </c>
      <c r="J307" t="s">
        <v>18</v>
      </c>
      <c r="K307">
        <f>IF($J307="Yes",1,0)</f>
        <v>0</v>
      </c>
    </row>
    <row r="308" spans="1:11">
      <c r="A308">
        <v>420</v>
      </c>
      <c r="B308">
        <v>32</v>
      </c>
      <c r="C308" t="s">
        <v>15</v>
      </c>
      <c r="D308" t="s">
        <v>12</v>
      </c>
      <c r="E308" t="s">
        <v>13</v>
      </c>
      <c r="F308">
        <v>5484</v>
      </c>
      <c r="G308">
        <v>3</v>
      </c>
      <c r="H308" t="s">
        <v>18</v>
      </c>
      <c r="I308">
        <v>13</v>
      </c>
      <c r="J308" t="s">
        <v>18</v>
      </c>
      <c r="K308">
        <f>IF($J308="Yes",1,0)</f>
        <v>0</v>
      </c>
    </row>
    <row r="309" spans="1:11">
      <c r="A309">
        <v>421</v>
      </c>
      <c r="B309">
        <v>38</v>
      </c>
      <c r="C309" t="s">
        <v>11</v>
      </c>
      <c r="D309" t="s">
        <v>16</v>
      </c>
      <c r="E309" t="s">
        <v>24</v>
      </c>
      <c r="F309">
        <v>12061</v>
      </c>
      <c r="G309">
        <v>2</v>
      </c>
      <c r="H309" t="s">
        <v>18</v>
      </c>
      <c r="I309">
        <v>10</v>
      </c>
      <c r="J309" t="s">
        <v>18</v>
      </c>
      <c r="K309">
        <f>IF($J309="Yes",1,0)</f>
        <v>0</v>
      </c>
    </row>
    <row r="310" spans="1:11">
      <c r="A310">
        <v>422</v>
      </c>
      <c r="B310">
        <v>58</v>
      </c>
      <c r="C310" t="s">
        <v>15</v>
      </c>
      <c r="D310" t="s">
        <v>16</v>
      </c>
      <c r="E310" t="s">
        <v>21</v>
      </c>
      <c r="F310">
        <v>5660</v>
      </c>
      <c r="G310">
        <v>3</v>
      </c>
      <c r="H310" t="s">
        <v>14</v>
      </c>
      <c r="I310">
        <v>5</v>
      </c>
      <c r="J310" t="s">
        <v>18</v>
      </c>
      <c r="K310">
        <f>IF($J310="Yes",1,0)</f>
        <v>0</v>
      </c>
    </row>
    <row r="311" spans="1:11">
      <c r="A311">
        <v>423</v>
      </c>
      <c r="B311">
        <v>31</v>
      </c>
      <c r="C311" t="s">
        <v>15</v>
      </c>
      <c r="D311" t="s">
        <v>16</v>
      </c>
      <c r="E311" t="s">
        <v>17</v>
      </c>
      <c r="F311">
        <v>4821</v>
      </c>
      <c r="G311">
        <v>4</v>
      </c>
      <c r="H311" t="s">
        <v>14</v>
      </c>
      <c r="I311">
        <v>5</v>
      </c>
      <c r="J311" t="s">
        <v>18</v>
      </c>
      <c r="K311">
        <f>IF($J311="Yes",1,0)</f>
        <v>0</v>
      </c>
    </row>
    <row r="312" spans="1:11">
      <c r="A312">
        <v>424</v>
      </c>
      <c r="B312">
        <v>31</v>
      </c>
      <c r="C312" t="s">
        <v>15</v>
      </c>
      <c r="D312" t="s">
        <v>25</v>
      </c>
      <c r="E312" t="s">
        <v>25</v>
      </c>
      <c r="F312">
        <v>6410</v>
      </c>
      <c r="G312">
        <v>1</v>
      </c>
      <c r="H312" t="s">
        <v>18</v>
      </c>
      <c r="I312">
        <v>2</v>
      </c>
      <c r="J312" t="s">
        <v>18</v>
      </c>
      <c r="K312">
        <f>IF($J312="Yes",1,0)</f>
        <v>0</v>
      </c>
    </row>
    <row r="313" spans="1:11">
      <c r="A313">
        <v>425</v>
      </c>
      <c r="B313">
        <v>45</v>
      </c>
      <c r="C313" t="s">
        <v>15</v>
      </c>
      <c r="D313" t="s">
        <v>16</v>
      </c>
      <c r="E313" t="s">
        <v>19</v>
      </c>
      <c r="F313">
        <v>5210</v>
      </c>
      <c r="G313">
        <v>1</v>
      </c>
      <c r="H313" t="s">
        <v>18</v>
      </c>
      <c r="I313">
        <v>24</v>
      </c>
      <c r="J313" t="s">
        <v>18</v>
      </c>
      <c r="K313">
        <f>IF($J313="Yes",1,0)</f>
        <v>0</v>
      </c>
    </row>
    <row r="314" spans="1:11">
      <c r="A314">
        <v>426</v>
      </c>
      <c r="B314">
        <v>31</v>
      </c>
      <c r="C314" t="s">
        <v>15</v>
      </c>
      <c r="D314" t="s">
        <v>16</v>
      </c>
      <c r="E314" t="s">
        <v>17</v>
      </c>
      <c r="F314">
        <v>2695</v>
      </c>
      <c r="G314">
        <v>4</v>
      </c>
      <c r="H314" t="s">
        <v>14</v>
      </c>
      <c r="I314">
        <v>2</v>
      </c>
      <c r="J314" t="s">
        <v>18</v>
      </c>
      <c r="K314">
        <f>IF($J314="Yes",1,0)</f>
        <v>0</v>
      </c>
    </row>
    <row r="315" spans="1:11">
      <c r="A315">
        <v>428</v>
      </c>
      <c r="B315">
        <v>33</v>
      </c>
      <c r="C315" t="s">
        <v>11</v>
      </c>
      <c r="D315" t="s">
        <v>16</v>
      </c>
      <c r="E315" t="s">
        <v>22</v>
      </c>
      <c r="F315">
        <v>11878</v>
      </c>
      <c r="G315">
        <v>2</v>
      </c>
      <c r="H315" t="s">
        <v>18</v>
      </c>
      <c r="I315">
        <v>10</v>
      </c>
      <c r="J315" t="s">
        <v>18</v>
      </c>
      <c r="K315">
        <f>IF($J315="Yes",1,0)</f>
        <v>0</v>
      </c>
    </row>
    <row r="316" spans="1:11">
      <c r="A316">
        <v>429</v>
      </c>
      <c r="B316">
        <v>39</v>
      </c>
      <c r="C316" t="s">
        <v>15</v>
      </c>
      <c r="D316" t="s">
        <v>16</v>
      </c>
      <c r="E316" t="s">
        <v>22</v>
      </c>
      <c r="F316">
        <v>17068</v>
      </c>
      <c r="G316">
        <v>1</v>
      </c>
      <c r="H316" t="s">
        <v>14</v>
      </c>
      <c r="I316">
        <v>21</v>
      </c>
      <c r="J316" t="s">
        <v>18</v>
      </c>
      <c r="K316">
        <f>IF($J316="Yes",1,0)</f>
        <v>0</v>
      </c>
    </row>
    <row r="317" spans="1:11">
      <c r="A317">
        <v>430</v>
      </c>
      <c r="B317">
        <v>43</v>
      </c>
      <c r="C317" t="s">
        <v>11</v>
      </c>
      <c r="D317" t="s">
        <v>16</v>
      </c>
      <c r="E317" t="s">
        <v>19</v>
      </c>
      <c r="F317">
        <v>2455</v>
      </c>
      <c r="G317">
        <v>4</v>
      </c>
      <c r="H317" t="s">
        <v>18</v>
      </c>
      <c r="I317">
        <v>8</v>
      </c>
      <c r="J317" t="s">
        <v>18</v>
      </c>
      <c r="K317">
        <f>IF($J317="Yes",1,0)</f>
        <v>0</v>
      </c>
    </row>
    <row r="318" spans="1:11">
      <c r="A318">
        <v>431</v>
      </c>
      <c r="B318">
        <v>49</v>
      </c>
      <c r="C318" t="s">
        <v>11</v>
      </c>
      <c r="D318" t="s">
        <v>16</v>
      </c>
      <c r="E318" t="s">
        <v>21</v>
      </c>
      <c r="F318">
        <v>13964</v>
      </c>
      <c r="G318">
        <v>3</v>
      </c>
      <c r="H318" t="s">
        <v>14</v>
      </c>
      <c r="I318">
        <v>7</v>
      </c>
      <c r="J318" t="s">
        <v>18</v>
      </c>
      <c r="K318">
        <f>IF($J318="Yes",1,0)</f>
        <v>0</v>
      </c>
    </row>
    <row r="319" spans="1:11">
      <c r="A319">
        <v>433</v>
      </c>
      <c r="B319">
        <v>52</v>
      </c>
      <c r="C319" t="s">
        <v>15</v>
      </c>
      <c r="D319" t="s">
        <v>16</v>
      </c>
      <c r="E319" t="s">
        <v>17</v>
      </c>
      <c r="F319">
        <v>4941</v>
      </c>
      <c r="G319">
        <v>2</v>
      </c>
      <c r="H319" t="s">
        <v>18</v>
      </c>
      <c r="I319">
        <v>8</v>
      </c>
      <c r="J319" t="s">
        <v>14</v>
      </c>
      <c r="K319">
        <f>IF($J319="Yes",1,0)</f>
        <v>1</v>
      </c>
    </row>
    <row r="320" spans="1:11">
      <c r="A320">
        <v>434</v>
      </c>
      <c r="B320">
        <v>27</v>
      </c>
      <c r="C320" t="s">
        <v>11</v>
      </c>
      <c r="D320" t="s">
        <v>16</v>
      </c>
      <c r="E320" t="s">
        <v>17</v>
      </c>
      <c r="F320">
        <v>2478</v>
      </c>
      <c r="G320">
        <v>2</v>
      </c>
      <c r="H320" t="s">
        <v>14</v>
      </c>
      <c r="I320">
        <v>4</v>
      </c>
      <c r="J320" t="s">
        <v>18</v>
      </c>
      <c r="K320">
        <f>IF($J320="Yes",1,0)</f>
        <v>0</v>
      </c>
    </row>
    <row r="321" spans="1:11">
      <c r="A321">
        <v>436</v>
      </c>
      <c r="B321">
        <v>32</v>
      </c>
      <c r="C321" t="s">
        <v>11</v>
      </c>
      <c r="D321" t="s">
        <v>12</v>
      </c>
      <c r="E321" t="s">
        <v>13</v>
      </c>
      <c r="F321">
        <v>5228</v>
      </c>
      <c r="G321">
        <v>2</v>
      </c>
      <c r="H321" t="s">
        <v>14</v>
      </c>
      <c r="I321">
        <v>13</v>
      </c>
      <c r="J321" t="s">
        <v>18</v>
      </c>
      <c r="K321">
        <f>IF($J321="Yes",1,0)</f>
        <v>0</v>
      </c>
    </row>
    <row r="322" spans="1:11">
      <c r="A322">
        <v>437</v>
      </c>
      <c r="B322">
        <v>27</v>
      </c>
      <c r="C322" t="s">
        <v>15</v>
      </c>
      <c r="D322" t="s">
        <v>12</v>
      </c>
      <c r="E322" t="s">
        <v>13</v>
      </c>
      <c r="F322">
        <v>4478</v>
      </c>
      <c r="G322">
        <v>3</v>
      </c>
      <c r="H322" t="s">
        <v>14</v>
      </c>
      <c r="I322">
        <v>5</v>
      </c>
      <c r="J322" t="s">
        <v>18</v>
      </c>
      <c r="K322">
        <f>IF($J322="Yes",1,0)</f>
        <v>0</v>
      </c>
    </row>
    <row r="323" spans="1:11">
      <c r="A323">
        <v>438</v>
      </c>
      <c r="B323">
        <v>31</v>
      </c>
      <c r="C323" t="s">
        <v>15</v>
      </c>
      <c r="D323" t="s">
        <v>12</v>
      </c>
      <c r="E323" t="s">
        <v>13</v>
      </c>
      <c r="F323">
        <v>7547</v>
      </c>
      <c r="G323">
        <v>4</v>
      </c>
      <c r="H323" t="s">
        <v>18</v>
      </c>
      <c r="I323">
        <v>7</v>
      </c>
      <c r="J323" t="s">
        <v>18</v>
      </c>
      <c r="K323">
        <f>IF($J323="Yes",1,0)</f>
        <v>0</v>
      </c>
    </row>
    <row r="324" spans="1:11">
      <c r="A324">
        <v>439</v>
      </c>
      <c r="B324">
        <v>32</v>
      </c>
      <c r="C324" t="s">
        <v>11</v>
      </c>
      <c r="D324" t="s">
        <v>16</v>
      </c>
      <c r="E324" t="s">
        <v>17</v>
      </c>
      <c r="F324">
        <v>5055</v>
      </c>
      <c r="G324">
        <v>4</v>
      </c>
      <c r="H324" t="s">
        <v>18</v>
      </c>
      <c r="I324">
        <v>7</v>
      </c>
      <c r="J324" t="s">
        <v>18</v>
      </c>
      <c r="K324">
        <f>IF($J324="Yes",1,0)</f>
        <v>0</v>
      </c>
    </row>
    <row r="325" spans="1:11">
      <c r="A325">
        <v>440</v>
      </c>
      <c r="B325">
        <v>28</v>
      </c>
      <c r="C325" t="s">
        <v>15</v>
      </c>
      <c r="D325" t="s">
        <v>16</v>
      </c>
      <c r="E325" t="s">
        <v>17</v>
      </c>
      <c r="F325">
        <v>3464</v>
      </c>
      <c r="G325">
        <v>4</v>
      </c>
      <c r="H325" t="s">
        <v>14</v>
      </c>
      <c r="I325">
        <v>3</v>
      </c>
      <c r="J325" t="s">
        <v>14</v>
      </c>
      <c r="K325">
        <f>IF($J325="Yes",1,0)</f>
        <v>1</v>
      </c>
    </row>
    <row r="326" spans="1:11">
      <c r="A326">
        <v>441</v>
      </c>
      <c r="B326">
        <v>30</v>
      </c>
      <c r="C326" t="s">
        <v>11</v>
      </c>
      <c r="D326" t="s">
        <v>16</v>
      </c>
      <c r="E326" t="s">
        <v>17</v>
      </c>
      <c r="F326">
        <v>5775</v>
      </c>
      <c r="G326">
        <v>4</v>
      </c>
      <c r="H326" t="s">
        <v>18</v>
      </c>
      <c r="I326">
        <v>10</v>
      </c>
      <c r="J326" t="s">
        <v>18</v>
      </c>
      <c r="K326">
        <f>IF($J326="Yes",1,0)</f>
        <v>0</v>
      </c>
    </row>
    <row r="327" spans="1:11">
      <c r="A327">
        <v>442</v>
      </c>
      <c r="B327">
        <v>31</v>
      </c>
      <c r="C327" t="s">
        <v>11</v>
      </c>
      <c r="D327" t="s">
        <v>16</v>
      </c>
      <c r="E327" t="s">
        <v>20</v>
      </c>
      <c r="F327">
        <v>8943</v>
      </c>
      <c r="G327">
        <v>3</v>
      </c>
      <c r="H327" t="s">
        <v>18</v>
      </c>
      <c r="I327">
        <v>10</v>
      </c>
      <c r="J327" t="s">
        <v>18</v>
      </c>
      <c r="K327">
        <f>IF($J327="Yes",1,0)</f>
        <v>0</v>
      </c>
    </row>
    <row r="328" spans="1:11">
      <c r="A328">
        <v>444</v>
      </c>
      <c r="B328">
        <v>39</v>
      </c>
      <c r="C328" t="s">
        <v>15</v>
      </c>
      <c r="D328" t="s">
        <v>16</v>
      </c>
      <c r="E328" t="s">
        <v>22</v>
      </c>
      <c r="F328">
        <v>19272</v>
      </c>
      <c r="G328">
        <v>4</v>
      </c>
      <c r="H328" t="s">
        <v>18</v>
      </c>
      <c r="I328">
        <v>21</v>
      </c>
      <c r="J328" t="s">
        <v>18</v>
      </c>
      <c r="K328">
        <f>IF($J328="Yes",1,0)</f>
        <v>0</v>
      </c>
    </row>
    <row r="329" spans="1:11">
      <c r="A329">
        <v>445</v>
      </c>
      <c r="B329">
        <v>39</v>
      </c>
      <c r="C329" t="s">
        <v>11</v>
      </c>
      <c r="D329" t="s">
        <v>12</v>
      </c>
      <c r="E329" t="s">
        <v>13</v>
      </c>
      <c r="F329">
        <v>5238</v>
      </c>
      <c r="G329">
        <v>3</v>
      </c>
      <c r="H329" t="s">
        <v>14</v>
      </c>
      <c r="I329">
        <v>1</v>
      </c>
      <c r="J329" t="s">
        <v>14</v>
      </c>
      <c r="K329">
        <f>IF($J329="Yes",1,0)</f>
        <v>1</v>
      </c>
    </row>
    <row r="330" spans="1:11">
      <c r="A330">
        <v>446</v>
      </c>
      <c r="B330">
        <v>33</v>
      </c>
      <c r="C330" t="s">
        <v>15</v>
      </c>
      <c r="D330" t="s">
        <v>12</v>
      </c>
      <c r="E330" t="s">
        <v>13</v>
      </c>
      <c r="F330">
        <v>4682</v>
      </c>
      <c r="G330">
        <v>4</v>
      </c>
      <c r="H330" t="s">
        <v>18</v>
      </c>
      <c r="I330">
        <v>7</v>
      </c>
      <c r="J330" t="s">
        <v>18</v>
      </c>
      <c r="K330">
        <f>IF($J330="Yes",1,0)</f>
        <v>0</v>
      </c>
    </row>
    <row r="331" spans="1:11">
      <c r="A331">
        <v>447</v>
      </c>
      <c r="B331">
        <v>47</v>
      </c>
      <c r="C331" t="s">
        <v>15</v>
      </c>
      <c r="D331" t="s">
        <v>16</v>
      </c>
      <c r="E331" t="s">
        <v>24</v>
      </c>
      <c r="F331">
        <v>18300</v>
      </c>
      <c r="G331">
        <v>3</v>
      </c>
      <c r="H331" t="s">
        <v>18</v>
      </c>
      <c r="I331">
        <v>3</v>
      </c>
      <c r="J331" t="s">
        <v>18</v>
      </c>
      <c r="K331">
        <f>IF($J331="Yes",1,0)</f>
        <v>0</v>
      </c>
    </row>
    <row r="332" spans="1:11">
      <c r="A332">
        <v>448</v>
      </c>
      <c r="B332">
        <v>43</v>
      </c>
      <c r="C332" t="s">
        <v>11</v>
      </c>
      <c r="D332" t="s">
        <v>16</v>
      </c>
      <c r="E332" t="s">
        <v>19</v>
      </c>
      <c r="F332">
        <v>5257</v>
      </c>
      <c r="G332">
        <v>3</v>
      </c>
      <c r="H332" t="s">
        <v>18</v>
      </c>
      <c r="I332">
        <v>9</v>
      </c>
      <c r="J332" t="s">
        <v>18</v>
      </c>
      <c r="K332">
        <f>IF($J332="Yes",1,0)</f>
        <v>0</v>
      </c>
    </row>
    <row r="333" spans="1:11">
      <c r="A333">
        <v>449</v>
      </c>
      <c r="B333">
        <v>27</v>
      </c>
      <c r="C333" t="s">
        <v>15</v>
      </c>
      <c r="D333" t="s">
        <v>12</v>
      </c>
      <c r="E333" t="s">
        <v>13</v>
      </c>
      <c r="F333">
        <v>6349</v>
      </c>
      <c r="G333">
        <v>2</v>
      </c>
      <c r="H333" t="s">
        <v>14</v>
      </c>
      <c r="I333">
        <v>5</v>
      </c>
      <c r="J333" t="s">
        <v>18</v>
      </c>
      <c r="K333">
        <f>IF($J333="Yes",1,0)</f>
        <v>0</v>
      </c>
    </row>
    <row r="334" spans="1:11">
      <c r="A334">
        <v>450</v>
      </c>
      <c r="B334">
        <v>54</v>
      </c>
      <c r="C334" t="s">
        <v>11</v>
      </c>
      <c r="D334" t="s">
        <v>16</v>
      </c>
      <c r="E334" t="s">
        <v>17</v>
      </c>
      <c r="F334">
        <v>4869</v>
      </c>
      <c r="G334">
        <v>3</v>
      </c>
      <c r="H334" t="s">
        <v>18</v>
      </c>
      <c r="I334">
        <v>4</v>
      </c>
      <c r="J334" t="s">
        <v>18</v>
      </c>
      <c r="K334">
        <f>IF($J334="Yes",1,0)</f>
        <v>0</v>
      </c>
    </row>
    <row r="335" spans="1:11">
      <c r="A335">
        <v>451</v>
      </c>
      <c r="B335">
        <v>43</v>
      </c>
      <c r="C335" t="s">
        <v>11</v>
      </c>
      <c r="D335" t="s">
        <v>16</v>
      </c>
      <c r="E335" t="s">
        <v>21</v>
      </c>
      <c r="F335">
        <v>9985</v>
      </c>
      <c r="G335">
        <v>1</v>
      </c>
      <c r="H335" t="s">
        <v>18</v>
      </c>
      <c r="I335">
        <v>1</v>
      </c>
      <c r="J335" t="s">
        <v>18</v>
      </c>
      <c r="K335">
        <f>IF($J335="Yes",1,0)</f>
        <v>0</v>
      </c>
    </row>
    <row r="336" spans="1:11">
      <c r="A336">
        <v>452</v>
      </c>
      <c r="B336">
        <v>45</v>
      </c>
      <c r="C336" t="s">
        <v>15</v>
      </c>
      <c r="D336" t="s">
        <v>16</v>
      </c>
      <c r="E336" t="s">
        <v>17</v>
      </c>
      <c r="F336">
        <v>3697</v>
      </c>
      <c r="G336">
        <v>4</v>
      </c>
      <c r="H336" t="s">
        <v>18</v>
      </c>
      <c r="I336">
        <v>10</v>
      </c>
      <c r="J336" t="s">
        <v>18</v>
      </c>
      <c r="K336">
        <f>IF($J336="Yes",1,0)</f>
        <v>0</v>
      </c>
    </row>
    <row r="337" spans="1:11">
      <c r="A337">
        <v>453</v>
      </c>
      <c r="B337">
        <v>40</v>
      </c>
      <c r="C337" t="s">
        <v>15</v>
      </c>
      <c r="D337" t="s">
        <v>12</v>
      </c>
      <c r="E337" t="s">
        <v>13</v>
      </c>
      <c r="F337">
        <v>7457</v>
      </c>
      <c r="G337">
        <v>4</v>
      </c>
      <c r="H337" t="s">
        <v>14</v>
      </c>
      <c r="I337">
        <v>4</v>
      </c>
      <c r="J337" t="s">
        <v>18</v>
      </c>
      <c r="K337">
        <f>IF($J337="Yes",1,0)</f>
        <v>0</v>
      </c>
    </row>
    <row r="338" spans="1:11">
      <c r="A338">
        <v>454</v>
      </c>
      <c r="B338">
        <v>29</v>
      </c>
      <c r="C338" t="s">
        <v>15</v>
      </c>
      <c r="D338" t="s">
        <v>16</v>
      </c>
      <c r="E338" t="s">
        <v>19</v>
      </c>
      <c r="F338">
        <v>2119</v>
      </c>
      <c r="G338">
        <v>1</v>
      </c>
      <c r="H338" t="s">
        <v>14</v>
      </c>
      <c r="I338">
        <v>7</v>
      </c>
      <c r="J338" t="s">
        <v>14</v>
      </c>
      <c r="K338">
        <f>IF($J338="Yes",1,0)</f>
        <v>1</v>
      </c>
    </row>
    <row r="339" spans="1:11">
      <c r="A339">
        <v>455</v>
      </c>
      <c r="B339">
        <v>29</v>
      </c>
      <c r="C339" t="s">
        <v>15</v>
      </c>
      <c r="D339" t="s">
        <v>16</v>
      </c>
      <c r="E339" t="s">
        <v>19</v>
      </c>
      <c r="F339">
        <v>3983</v>
      </c>
      <c r="G339">
        <v>4</v>
      </c>
      <c r="H339" t="s">
        <v>18</v>
      </c>
      <c r="I339">
        <v>3</v>
      </c>
      <c r="J339" t="s">
        <v>18</v>
      </c>
      <c r="K339">
        <f>IF($J339="Yes",1,0)</f>
        <v>0</v>
      </c>
    </row>
    <row r="340" spans="1:11">
      <c r="A340">
        <v>456</v>
      </c>
      <c r="B340">
        <v>30</v>
      </c>
      <c r="C340" t="s">
        <v>11</v>
      </c>
      <c r="D340" t="s">
        <v>12</v>
      </c>
      <c r="E340" t="s">
        <v>13</v>
      </c>
      <c r="F340">
        <v>6118</v>
      </c>
      <c r="G340">
        <v>3</v>
      </c>
      <c r="H340" t="s">
        <v>18</v>
      </c>
      <c r="I340">
        <v>10</v>
      </c>
      <c r="J340" t="s">
        <v>18</v>
      </c>
      <c r="K340">
        <f>IF($J340="Yes",1,0)</f>
        <v>0</v>
      </c>
    </row>
    <row r="341" spans="1:11">
      <c r="A341">
        <v>458</v>
      </c>
      <c r="B341">
        <v>27</v>
      </c>
      <c r="C341" t="s">
        <v>11</v>
      </c>
      <c r="D341" t="s">
        <v>12</v>
      </c>
      <c r="E341" t="s">
        <v>13</v>
      </c>
      <c r="F341">
        <v>6214</v>
      </c>
      <c r="G341">
        <v>2</v>
      </c>
      <c r="H341" t="s">
        <v>18</v>
      </c>
      <c r="I341">
        <v>8</v>
      </c>
      <c r="J341" t="s">
        <v>18</v>
      </c>
      <c r="K341">
        <f>IF($J341="Yes",1,0)</f>
        <v>0</v>
      </c>
    </row>
    <row r="342" spans="1:11">
      <c r="A342">
        <v>460</v>
      </c>
      <c r="B342">
        <v>37</v>
      </c>
      <c r="C342" t="s">
        <v>15</v>
      </c>
      <c r="D342" t="s">
        <v>16</v>
      </c>
      <c r="E342" t="s">
        <v>20</v>
      </c>
      <c r="F342">
        <v>6347</v>
      </c>
      <c r="G342">
        <v>4</v>
      </c>
      <c r="H342" t="s">
        <v>18</v>
      </c>
      <c r="I342">
        <v>6</v>
      </c>
      <c r="J342" t="s">
        <v>18</v>
      </c>
      <c r="K342">
        <f>IF($J342="Yes",1,0)</f>
        <v>0</v>
      </c>
    </row>
    <row r="343" spans="1:11">
      <c r="A343">
        <v>461</v>
      </c>
      <c r="B343">
        <v>38</v>
      </c>
      <c r="C343" t="s">
        <v>15</v>
      </c>
      <c r="D343" t="s">
        <v>16</v>
      </c>
      <c r="E343" t="s">
        <v>24</v>
      </c>
      <c r="F343">
        <v>11510</v>
      </c>
      <c r="G343">
        <v>4</v>
      </c>
      <c r="H343" t="s">
        <v>14</v>
      </c>
      <c r="I343">
        <v>11</v>
      </c>
      <c r="J343" t="s">
        <v>18</v>
      </c>
      <c r="K343">
        <f>IF($J343="Yes",1,0)</f>
        <v>0</v>
      </c>
    </row>
    <row r="344" spans="1:11">
      <c r="A344">
        <v>462</v>
      </c>
      <c r="B344">
        <v>31</v>
      </c>
      <c r="C344" t="s">
        <v>11</v>
      </c>
      <c r="D344" t="s">
        <v>16</v>
      </c>
      <c r="E344" t="s">
        <v>20</v>
      </c>
      <c r="F344">
        <v>7143</v>
      </c>
      <c r="G344">
        <v>4</v>
      </c>
      <c r="H344" t="s">
        <v>14</v>
      </c>
      <c r="I344">
        <v>11</v>
      </c>
      <c r="J344" t="s">
        <v>18</v>
      </c>
      <c r="K344">
        <f>IF($J344="Yes",1,0)</f>
        <v>0</v>
      </c>
    </row>
    <row r="345" spans="1:11">
      <c r="A345">
        <v>463</v>
      </c>
      <c r="B345">
        <v>29</v>
      </c>
      <c r="C345" t="s">
        <v>11</v>
      </c>
      <c r="D345" t="s">
        <v>12</v>
      </c>
      <c r="E345" t="s">
        <v>13</v>
      </c>
      <c r="F345">
        <v>8268</v>
      </c>
      <c r="G345">
        <v>2</v>
      </c>
      <c r="H345" t="s">
        <v>14</v>
      </c>
      <c r="I345">
        <v>7</v>
      </c>
      <c r="J345" t="s">
        <v>18</v>
      </c>
      <c r="K345">
        <f>IF($J345="Yes",1,0)</f>
        <v>0</v>
      </c>
    </row>
    <row r="346" spans="1:11">
      <c r="A346">
        <v>464</v>
      </c>
      <c r="B346">
        <v>35</v>
      </c>
      <c r="C346" t="s">
        <v>15</v>
      </c>
      <c r="D346" t="s">
        <v>16</v>
      </c>
      <c r="E346" t="s">
        <v>20</v>
      </c>
      <c r="F346">
        <v>8095</v>
      </c>
      <c r="G346">
        <v>2</v>
      </c>
      <c r="H346" t="s">
        <v>18</v>
      </c>
      <c r="I346">
        <v>16</v>
      </c>
      <c r="J346" t="s">
        <v>18</v>
      </c>
      <c r="K346">
        <f>IF($J346="Yes",1,0)</f>
        <v>0</v>
      </c>
    </row>
    <row r="347" spans="1:11">
      <c r="A347">
        <v>465</v>
      </c>
      <c r="B347">
        <v>23</v>
      </c>
      <c r="C347" t="s">
        <v>15</v>
      </c>
      <c r="D347" t="s">
        <v>16</v>
      </c>
      <c r="E347" t="s">
        <v>17</v>
      </c>
      <c r="F347">
        <v>2904</v>
      </c>
      <c r="G347">
        <v>4</v>
      </c>
      <c r="H347" t="s">
        <v>18</v>
      </c>
      <c r="I347">
        <v>4</v>
      </c>
      <c r="J347" t="s">
        <v>18</v>
      </c>
      <c r="K347">
        <f>IF($J347="Yes",1,0)</f>
        <v>0</v>
      </c>
    </row>
    <row r="348" spans="1:11">
      <c r="A348">
        <v>466</v>
      </c>
      <c r="B348">
        <v>41</v>
      </c>
      <c r="C348" t="s">
        <v>15</v>
      </c>
      <c r="D348" t="s">
        <v>16</v>
      </c>
      <c r="E348" t="s">
        <v>20</v>
      </c>
      <c r="F348">
        <v>6032</v>
      </c>
      <c r="G348">
        <v>2</v>
      </c>
      <c r="H348" t="s">
        <v>14</v>
      </c>
      <c r="I348">
        <v>5</v>
      </c>
      <c r="J348" t="s">
        <v>18</v>
      </c>
      <c r="K348">
        <f>IF($J348="Yes",1,0)</f>
        <v>0</v>
      </c>
    </row>
    <row r="349" spans="1:11">
      <c r="A349">
        <v>467</v>
      </c>
      <c r="B349">
        <v>47</v>
      </c>
      <c r="C349" t="s">
        <v>15</v>
      </c>
      <c r="D349" t="s">
        <v>12</v>
      </c>
      <c r="E349" t="s">
        <v>23</v>
      </c>
      <c r="F349">
        <v>2976</v>
      </c>
      <c r="G349">
        <v>3</v>
      </c>
      <c r="H349" t="s">
        <v>18</v>
      </c>
      <c r="I349">
        <v>0</v>
      </c>
      <c r="J349" t="s">
        <v>18</v>
      </c>
      <c r="K349">
        <f>IF($J349="Yes",1,0)</f>
        <v>0</v>
      </c>
    </row>
    <row r="350" spans="1:11">
      <c r="A350">
        <v>468</v>
      </c>
      <c r="B350">
        <v>42</v>
      </c>
      <c r="C350" t="s">
        <v>11</v>
      </c>
      <c r="D350" t="s">
        <v>16</v>
      </c>
      <c r="E350" t="s">
        <v>24</v>
      </c>
      <c r="F350">
        <v>15992</v>
      </c>
      <c r="G350">
        <v>4</v>
      </c>
      <c r="H350" t="s">
        <v>18</v>
      </c>
      <c r="I350">
        <v>1</v>
      </c>
      <c r="J350" t="s">
        <v>18</v>
      </c>
      <c r="K350">
        <f>IF($J350="Yes",1,0)</f>
        <v>0</v>
      </c>
    </row>
    <row r="351" spans="1:11">
      <c r="A351">
        <v>469</v>
      </c>
      <c r="B351">
        <v>29</v>
      </c>
      <c r="C351" t="s">
        <v>15</v>
      </c>
      <c r="D351" t="s">
        <v>12</v>
      </c>
      <c r="E351" t="s">
        <v>13</v>
      </c>
      <c r="F351">
        <v>4649</v>
      </c>
      <c r="G351">
        <v>3</v>
      </c>
      <c r="H351" t="s">
        <v>18</v>
      </c>
      <c r="I351">
        <v>4</v>
      </c>
      <c r="J351" t="s">
        <v>18</v>
      </c>
      <c r="K351">
        <f>IF($J351="Yes",1,0)</f>
        <v>0</v>
      </c>
    </row>
    <row r="352" spans="1:11">
      <c r="A352">
        <v>470</v>
      </c>
      <c r="B352">
        <v>42</v>
      </c>
      <c r="C352" t="s">
        <v>15</v>
      </c>
      <c r="D352" t="s">
        <v>25</v>
      </c>
      <c r="E352" t="s">
        <v>25</v>
      </c>
      <c r="F352">
        <v>2696</v>
      </c>
      <c r="G352">
        <v>3</v>
      </c>
      <c r="H352" t="s">
        <v>14</v>
      </c>
      <c r="I352">
        <v>3</v>
      </c>
      <c r="J352" t="s">
        <v>18</v>
      </c>
      <c r="K352">
        <f>IF($J352="Yes",1,0)</f>
        <v>0</v>
      </c>
    </row>
    <row r="353" spans="1:11">
      <c r="A353">
        <v>471</v>
      </c>
      <c r="B353">
        <v>32</v>
      </c>
      <c r="C353" t="s">
        <v>11</v>
      </c>
      <c r="D353" t="s">
        <v>16</v>
      </c>
      <c r="E353" t="s">
        <v>19</v>
      </c>
      <c r="F353">
        <v>2370</v>
      </c>
      <c r="G353">
        <v>2</v>
      </c>
      <c r="H353" t="s">
        <v>18</v>
      </c>
      <c r="I353">
        <v>8</v>
      </c>
      <c r="J353" t="s">
        <v>18</v>
      </c>
      <c r="K353">
        <f>IF($J353="Yes",1,0)</f>
        <v>0</v>
      </c>
    </row>
    <row r="354" spans="1:11">
      <c r="A354">
        <v>473</v>
      </c>
      <c r="B354">
        <v>48</v>
      </c>
      <c r="C354" t="s">
        <v>11</v>
      </c>
      <c r="D354" t="s">
        <v>12</v>
      </c>
      <c r="E354" t="s">
        <v>22</v>
      </c>
      <c r="F354">
        <v>12504</v>
      </c>
      <c r="G354">
        <v>3</v>
      </c>
      <c r="H354" t="s">
        <v>18</v>
      </c>
      <c r="I354">
        <v>0</v>
      </c>
      <c r="J354" t="s">
        <v>18</v>
      </c>
      <c r="K354">
        <f>IF($J354="Yes",1,0)</f>
        <v>0</v>
      </c>
    </row>
    <row r="355" spans="1:11">
      <c r="A355">
        <v>474</v>
      </c>
      <c r="B355">
        <v>37</v>
      </c>
      <c r="C355" t="s">
        <v>15</v>
      </c>
      <c r="D355" t="s">
        <v>16</v>
      </c>
      <c r="E355" t="s">
        <v>17</v>
      </c>
      <c r="F355">
        <v>5974</v>
      </c>
      <c r="G355">
        <v>1</v>
      </c>
      <c r="H355" t="s">
        <v>14</v>
      </c>
      <c r="I355">
        <v>7</v>
      </c>
      <c r="J355" t="s">
        <v>18</v>
      </c>
      <c r="K355">
        <f>IF($J355="Yes",1,0)</f>
        <v>0</v>
      </c>
    </row>
    <row r="356" spans="1:11">
      <c r="A356">
        <v>475</v>
      </c>
      <c r="B356">
        <v>30</v>
      </c>
      <c r="C356" t="s">
        <v>11</v>
      </c>
      <c r="D356" t="s">
        <v>12</v>
      </c>
      <c r="E356" t="s">
        <v>13</v>
      </c>
      <c r="F356">
        <v>4736</v>
      </c>
      <c r="G356">
        <v>3</v>
      </c>
      <c r="H356" t="s">
        <v>14</v>
      </c>
      <c r="I356">
        <v>2</v>
      </c>
      <c r="J356" t="s">
        <v>18</v>
      </c>
      <c r="K356">
        <f>IF($J356="Yes",1,0)</f>
        <v>0</v>
      </c>
    </row>
    <row r="357" spans="1:11">
      <c r="A357">
        <v>476</v>
      </c>
      <c r="B357">
        <v>26</v>
      </c>
      <c r="C357" t="s">
        <v>15</v>
      </c>
      <c r="D357" t="s">
        <v>12</v>
      </c>
      <c r="E357" t="s">
        <v>13</v>
      </c>
      <c r="F357">
        <v>5296</v>
      </c>
      <c r="G357">
        <v>3</v>
      </c>
      <c r="H357" t="s">
        <v>18</v>
      </c>
      <c r="I357">
        <v>8</v>
      </c>
      <c r="J357" t="s">
        <v>18</v>
      </c>
      <c r="K357">
        <f>IF($J357="Yes",1,0)</f>
        <v>0</v>
      </c>
    </row>
    <row r="358" spans="1:11">
      <c r="A358">
        <v>477</v>
      </c>
      <c r="B358">
        <v>42</v>
      </c>
      <c r="C358" t="s">
        <v>15</v>
      </c>
      <c r="D358" t="s">
        <v>16</v>
      </c>
      <c r="E358" t="s">
        <v>21</v>
      </c>
      <c r="F358">
        <v>6781</v>
      </c>
      <c r="G358">
        <v>4</v>
      </c>
      <c r="H358" t="s">
        <v>18</v>
      </c>
      <c r="I358">
        <v>1</v>
      </c>
      <c r="J358" t="s">
        <v>18</v>
      </c>
      <c r="K358">
        <f>IF($J358="Yes",1,0)</f>
        <v>0</v>
      </c>
    </row>
    <row r="359" spans="1:11">
      <c r="A359">
        <v>478</v>
      </c>
      <c r="B359">
        <v>21</v>
      </c>
      <c r="C359" t="s">
        <v>11</v>
      </c>
      <c r="D359" t="s">
        <v>12</v>
      </c>
      <c r="E359" t="s">
        <v>23</v>
      </c>
      <c r="F359">
        <v>2174</v>
      </c>
      <c r="G359">
        <v>2</v>
      </c>
      <c r="H359" t="s">
        <v>14</v>
      </c>
      <c r="I359">
        <v>3</v>
      </c>
      <c r="J359" t="s">
        <v>14</v>
      </c>
      <c r="K359">
        <f>IF($J359="Yes",1,0)</f>
        <v>1</v>
      </c>
    </row>
    <row r="360" spans="1:11">
      <c r="A360">
        <v>479</v>
      </c>
      <c r="B360">
        <v>36</v>
      </c>
      <c r="C360" t="s">
        <v>11</v>
      </c>
      <c r="D360" t="s">
        <v>12</v>
      </c>
      <c r="E360" t="s">
        <v>13</v>
      </c>
      <c r="F360">
        <v>6653</v>
      </c>
      <c r="G360">
        <v>4</v>
      </c>
      <c r="H360" t="s">
        <v>18</v>
      </c>
      <c r="I360">
        <v>1</v>
      </c>
      <c r="J360" t="s">
        <v>18</v>
      </c>
      <c r="K360">
        <f>IF($J360="Yes",1,0)</f>
        <v>0</v>
      </c>
    </row>
    <row r="361" spans="1:11">
      <c r="A361">
        <v>481</v>
      </c>
      <c r="B361">
        <v>36</v>
      </c>
      <c r="C361" t="s">
        <v>15</v>
      </c>
      <c r="D361" t="s">
        <v>12</v>
      </c>
      <c r="E361" t="s">
        <v>13</v>
      </c>
      <c r="F361">
        <v>9699</v>
      </c>
      <c r="G361">
        <v>4</v>
      </c>
      <c r="H361" t="s">
        <v>18</v>
      </c>
      <c r="I361">
        <v>13</v>
      </c>
      <c r="J361" t="s">
        <v>18</v>
      </c>
      <c r="K361">
        <f>IF($J361="Yes",1,0)</f>
        <v>0</v>
      </c>
    </row>
    <row r="362" spans="1:11">
      <c r="A362">
        <v>482</v>
      </c>
      <c r="B362">
        <v>57</v>
      </c>
      <c r="C362" t="s">
        <v>15</v>
      </c>
      <c r="D362" t="s">
        <v>16</v>
      </c>
      <c r="E362" t="s">
        <v>21</v>
      </c>
      <c r="F362">
        <v>6755</v>
      </c>
      <c r="G362">
        <v>3</v>
      </c>
      <c r="H362" t="s">
        <v>18</v>
      </c>
      <c r="I362">
        <v>3</v>
      </c>
      <c r="J362" t="s">
        <v>18</v>
      </c>
      <c r="K362">
        <f>IF($J362="Yes",1,0)</f>
        <v>0</v>
      </c>
    </row>
    <row r="363" spans="1:11">
      <c r="A363">
        <v>483</v>
      </c>
      <c r="B363">
        <v>40</v>
      </c>
      <c r="C363" t="s">
        <v>11</v>
      </c>
      <c r="D363" t="s">
        <v>16</v>
      </c>
      <c r="E363" t="s">
        <v>19</v>
      </c>
      <c r="F363">
        <v>2213</v>
      </c>
      <c r="G363">
        <v>3</v>
      </c>
      <c r="H363" t="s">
        <v>14</v>
      </c>
      <c r="I363">
        <v>7</v>
      </c>
      <c r="J363" t="s">
        <v>18</v>
      </c>
      <c r="K363">
        <f>IF($J363="Yes",1,0)</f>
        <v>0</v>
      </c>
    </row>
    <row r="364" spans="1:11">
      <c r="A364">
        <v>484</v>
      </c>
      <c r="B364">
        <v>21</v>
      </c>
      <c r="C364" t="s">
        <v>15</v>
      </c>
      <c r="D364" t="s">
        <v>12</v>
      </c>
      <c r="E364" t="s">
        <v>23</v>
      </c>
      <c r="F364">
        <v>2610</v>
      </c>
      <c r="G364">
        <v>4</v>
      </c>
      <c r="H364" t="s">
        <v>18</v>
      </c>
      <c r="I364">
        <v>3</v>
      </c>
      <c r="J364" t="s">
        <v>18</v>
      </c>
      <c r="K364">
        <f>IF($J364="Yes",1,0)</f>
        <v>0</v>
      </c>
    </row>
    <row r="365" spans="1:11">
      <c r="A365">
        <v>485</v>
      </c>
      <c r="B365">
        <v>33</v>
      </c>
      <c r="C365" t="s">
        <v>11</v>
      </c>
      <c r="D365" t="s">
        <v>12</v>
      </c>
      <c r="E365" t="s">
        <v>23</v>
      </c>
      <c r="F365">
        <v>2851</v>
      </c>
      <c r="G365">
        <v>3</v>
      </c>
      <c r="H365" t="s">
        <v>14</v>
      </c>
      <c r="I365">
        <v>1</v>
      </c>
      <c r="J365" t="s">
        <v>14</v>
      </c>
      <c r="K365">
        <f>IF($J365="Yes",1,0)</f>
        <v>1</v>
      </c>
    </row>
    <row r="366" spans="1:11">
      <c r="A366">
        <v>486</v>
      </c>
      <c r="B366">
        <v>37</v>
      </c>
      <c r="C366" t="s">
        <v>11</v>
      </c>
      <c r="D366" t="s">
        <v>16</v>
      </c>
      <c r="E366" t="s">
        <v>19</v>
      </c>
      <c r="F366">
        <v>3452</v>
      </c>
      <c r="G366">
        <v>1</v>
      </c>
      <c r="H366" t="s">
        <v>18</v>
      </c>
      <c r="I366">
        <v>5</v>
      </c>
      <c r="J366" t="s">
        <v>18</v>
      </c>
      <c r="K366">
        <f>IF($J366="Yes",1,0)</f>
        <v>0</v>
      </c>
    </row>
    <row r="367" spans="1:11">
      <c r="A367">
        <v>487</v>
      </c>
      <c r="B367">
        <v>46</v>
      </c>
      <c r="C367" t="s">
        <v>11</v>
      </c>
      <c r="D367" t="s">
        <v>16</v>
      </c>
      <c r="E367" t="s">
        <v>20</v>
      </c>
      <c r="F367">
        <v>5258</v>
      </c>
      <c r="G367">
        <v>3</v>
      </c>
      <c r="H367" t="s">
        <v>18</v>
      </c>
      <c r="I367">
        <v>1</v>
      </c>
      <c r="J367" t="s">
        <v>18</v>
      </c>
      <c r="K367">
        <f>IF($J367="Yes",1,0)</f>
        <v>0</v>
      </c>
    </row>
    <row r="368" spans="1:11">
      <c r="A368">
        <v>488</v>
      </c>
      <c r="B368">
        <v>41</v>
      </c>
      <c r="C368" t="s">
        <v>15</v>
      </c>
      <c r="D368" t="s">
        <v>12</v>
      </c>
      <c r="E368" t="s">
        <v>13</v>
      </c>
      <c r="F368">
        <v>9355</v>
      </c>
      <c r="G368">
        <v>2</v>
      </c>
      <c r="H368" t="s">
        <v>18</v>
      </c>
      <c r="I368">
        <v>8</v>
      </c>
      <c r="J368" t="s">
        <v>14</v>
      </c>
      <c r="K368">
        <f>IF($J368="Yes",1,0)</f>
        <v>1</v>
      </c>
    </row>
    <row r="369" spans="1:11">
      <c r="A369">
        <v>491</v>
      </c>
      <c r="B369">
        <v>50</v>
      </c>
      <c r="C369" t="s">
        <v>15</v>
      </c>
      <c r="D369" t="s">
        <v>16</v>
      </c>
      <c r="E369" t="s">
        <v>21</v>
      </c>
      <c r="F369">
        <v>10496</v>
      </c>
      <c r="G369">
        <v>4</v>
      </c>
      <c r="H369" t="s">
        <v>18</v>
      </c>
      <c r="I369">
        <v>4</v>
      </c>
      <c r="J369" t="s">
        <v>18</v>
      </c>
      <c r="K369">
        <f>IF($J369="Yes",1,0)</f>
        <v>0</v>
      </c>
    </row>
    <row r="370" spans="1:11">
      <c r="A370">
        <v>492</v>
      </c>
      <c r="B370">
        <v>40</v>
      </c>
      <c r="C370" t="s">
        <v>15</v>
      </c>
      <c r="D370" t="s">
        <v>12</v>
      </c>
      <c r="E370" t="s">
        <v>13</v>
      </c>
      <c r="F370">
        <v>6380</v>
      </c>
      <c r="G370">
        <v>3</v>
      </c>
      <c r="H370" t="s">
        <v>14</v>
      </c>
      <c r="I370">
        <v>6</v>
      </c>
      <c r="J370" t="s">
        <v>14</v>
      </c>
      <c r="K370">
        <f>IF($J370="Yes",1,0)</f>
        <v>1</v>
      </c>
    </row>
    <row r="371" spans="1:11">
      <c r="A371">
        <v>493</v>
      </c>
      <c r="B371">
        <v>31</v>
      </c>
      <c r="C371" t="s">
        <v>15</v>
      </c>
      <c r="D371" t="s">
        <v>16</v>
      </c>
      <c r="E371" t="s">
        <v>17</v>
      </c>
      <c r="F371">
        <v>2657</v>
      </c>
      <c r="G371">
        <v>2</v>
      </c>
      <c r="H371" t="s">
        <v>14</v>
      </c>
      <c r="I371">
        <v>2</v>
      </c>
      <c r="J371" t="s">
        <v>18</v>
      </c>
      <c r="K371">
        <f>IF($J371="Yes",1,0)</f>
        <v>0</v>
      </c>
    </row>
    <row r="372" spans="1:11">
      <c r="A372">
        <v>494</v>
      </c>
      <c r="B372">
        <v>21</v>
      </c>
      <c r="C372" t="s">
        <v>11</v>
      </c>
      <c r="D372" t="s">
        <v>12</v>
      </c>
      <c r="E372" t="s">
        <v>23</v>
      </c>
      <c r="F372">
        <v>2716</v>
      </c>
      <c r="G372">
        <v>2</v>
      </c>
      <c r="H372" t="s">
        <v>18</v>
      </c>
      <c r="I372">
        <v>1</v>
      </c>
      <c r="J372" t="s">
        <v>14</v>
      </c>
      <c r="K372">
        <f>IF($J372="Yes",1,0)</f>
        <v>1</v>
      </c>
    </row>
    <row r="373" spans="1:11">
      <c r="A373">
        <v>495</v>
      </c>
      <c r="B373">
        <v>29</v>
      </c>
      <c r="C373" t="s">
        <v>15</v>
      </c>
      <c r="D373" t="s">
        <v>16</v>
      </c>
      <c r="E373" t="s">
        <v>17</v>
      </c>
      <c r="F373">
        <v>2201</v>
      </c>
      <c r="G373">
        <v>4</v>
      </c>
      <c r="H373" t="s">
        <v>18</v>
      </c>
      <c r="I373">
        <v>3</v>
      </c>
      <c r="J373" t="s">
        <v>18</v>
      </c>
      <c r="K373">
        <f>IF($J373="Yes",1,0)</f>
        <v>0</v>
      </c>
    </row>
    <row r="374" spans="1:11">
      <c r="A374">
        <v>496</v>
      </c>
      <c r="B374">
        <v>35</v>
      </c>
      <c r="C374" t="s">
        <v>15</v>
      </c>
      <c r="D374" t="s">
        <v>16</v>
      </c>
      <c r="E374" t="s">
        <v>21</v>
      </c>
      <c r="F374">
        <v>6540</v>
      </c>
      <c r="G374">
        <v>2</v>
      </c>
      <c r="H374" t="s">
        <v>18</v>
      </c>
      <c r="I374">
        <v>1</v>
      </c>
      <c r="J374" t="s">
        <v>18</v>
      </c>
      <c r="K374">
        <f>IF($J374="Yes",1,0)</f>
        <v>0</v>
      </c>
    </row>
    <row r="375" spans="1:11">
      <c r="A375">
        <v>497</v>
      </c>
      <c r="B375">
        <v>27</v>
      </c>
      <c r="C375" t="s">
        <v>15</v>
      </c>
      <c r="D375" t="s">
        <v>16</v>
      </c>
      <c r="E375" t="s">
        <v>19</v>
      </c>
      <c r="F375">
        <v>3816</v>
      </c>
      <c r="G375">
        <v>2</v>
      </c>
      <c r="H375" t="s">
        <v>18</v>
      </c>
      <c r="I375">
        <v>5</v>
      </c>
      <c r="J375" t="s">
        <v>18</v>
      </c>
      <c r="K375">
        <f>IF($J375="Yes",1,0)</f>
        <v>0</v>
      </c>
    </row>
    <row r="376" spans="1:11">
      <c r="A376">
        <v>498</v>
      </c>
      <c r="B376">
        <v>28</v>
      </c>
      <c r="C376" t="s">
        <v>15</v>
      </c>
      <c r="D376" t="s">
        <v>12</v>
      </c>
      <c r="E376" t="s">
        <v>13</v>
      </c>
      <c r="F376">
        <v>5253</v>
      </c>
      <c r="G376">
        <v>4</v>
      </c>
      <c r="H376" t="s">
        <v>18</v>
      </c>
      <c r="I376">
        <v>7</v>
      </c>
      <c r="J376" t="s">
        <v>18</v>
      </c>
      <c r="K376">
        <f>IF($J376="Yes",1,0)</f>
        <v>0</v>
      </c>
    </row>
    <row r="377" spans="1:11">
      <c r="A377">
        <v>499</v>
      </c>
      <c r="B377">
        <v>49</v>
      </c>
      <c r="C377" t="s">
        <v>15</v>
      </c>
      <c r="D377" t="s">
        <v>16</v>
      </c>
      <c r="E377" t="s">
        <v>21</v>
      </c>
      <c r="F377">
        <v>10965</v>
      </c>
      <c r="G377">
        <v>3</v>
      </c>
      <c r="H377" t="s">
        <v>18</v>
      </c>
      <c r="I377">
        <v>5</v>
      </c>
      <c r="J377" t="s">
        <v>18</v>
      </c>
      <c r="K377">
        <f>IF($J377="Yes",1,0)</f>
        <v>0</v>
      </c>
    </row>
    <row r="378" spans="1:11">
      <c r="A378">
        <v>500</v>
      </c>
      <c r="B378">
        <v>51</v>
      </c>
      <c r="C378" t="s">
        <v>11</v>
      </c>
      <c r="D378" t="s">
        <v>12</v>
      </c>
      <c r="E378" t="s">
        <v>13</v>
      </c>
      <c r="F378">
        <v>4936</v>
      </c>
      <c r="G378">
        <v>4</v>
      </c>
      <c r="H378" t="s">
        <v>18</v>
      </c>
      <c r="I378">
        <v>7</v>
      </c>
      <c r="J378" t="s">
        <v>18</v>
      </c>
      <c r="K378">
        <f>IF($J378="Yes",1,0)</f>
        <v>0</v>
      </c>
    </row>
    <row r="379" spans="1:11">
      <c r="A379">
        <v>501</v>
      </c>
      <c r="B379">
        <v>36</v>
      </c>
      <c r="C379" t="s">
        <v>11</v>
      </c>
      <c r="D379" t="s">
        <v>16</v>
      </c>
      <c r="E379" t="s">
        <v>17</v>
      </c>
      <c r="F379">
        <v>2543</v>
      </c>
      <c r="G379">
        <v>3</v>
      </c>
      <c r="H379" t="s">
        <v>18</v>
      </c>
      <c r="I379">
        <v>2</v>
      </c>
      <c r="J379" t="s">
        <v>18</v>
      </c>
      <c r="K379">
        <f>IF($J379="Yes",1,0)</f>
        <v>0</v>
      </c>
    </row>
    <row r="380" spans="1:11">
      <c r="A380">
        <v>502</v>
      </c>
      <c r="B380">
        <v>34</v>
      </c>
      <c r="C380" t="s">
        <v>15</v>
      </c>
      <c r="D380" t="s">
        <v>12</v>
      </c>
      <c r="E380" t="s">
        <v>13</v>
      </c>
      <c r="F380">
        <v>5304</v>
      </c>
      <c r="G380">
        <v>4</v>
      </c>
      <c r="H380" t="s">
        <v>14</v>
      </c>
      <c r="I380">
        <v>5</v>
      </c>
      <c r="J380" t="s">
        <v>14</v>
      </c>
      <c r="K380">
        <f>IF($J380="Yes",1,0)</f>
        <v>1</v>
      </c>
    </row>
    <row r="381" spans="1:11">
      <c r="A381">
        <v>505</v>
      </c>
      <c r="B381">
        <v>55</v>
      </c>
      <c r="C381" t="s">
        <v>11</v>
      </c>
      <c r="D381" t="s">
        <v>16</v>
      </c>
      <c r="E381" t="s">
        <v>22</v>
      </c>
      <c r="F381">
        <v>16659</v>
      </c>
      <c r="G381">
        <v>4</v>
      </c>
      <c r="H381" t="s">
        <v>14</v>
      </c>
      <c r="I381">
        <v>5</v>
      </c>
      <c r="J381" t="s">
        <v>18</v>
      </c>
      <c r="K381">
        <f>IF($J381="Yes",1,0)</f>
        <v>0</v>
      </c>
    </row>
    <row r="382" spans="1:11">
      <c r="A382">
        <v>507</v>
      </c>
      <c r="B382">
        <v>24</v>
      </c>
      <c r="C382" t="s">
        <v>11</v>
      </c>
      <c r="D382" t="s">
        <v>12</v>
      </c>
      <c r="E382" t="s">
        <v>13</v>
      </c>
      <c r="F382">
        <v>4260</v>
      </c>
      <c r="G382">
        <v>3</v>
      </c>
      <c r="H382" t="s">
        <v>14</v>
      </c>
      <c r="I382">
        <v>5</v>
      </c>
      <c r="J382" t="s">
        <v>18</v>
      </c>
      <c r="K382">
        <f>IF($J382="Yes",1,0)</f>
        <v>0</v>
      </c>
    </row>
    <row r="383" spans="1:11">
      <c r="A383">
        <v>508</v>
      </c>
      <c r="B383">
        <v>30</v>
      </c>
      <c r="C383" t="s">
        <v>15</v>
      </c>
      <c r="D383" t="s">
        <v>12</v>
      </c>
      <c r="E383" t="s">
        <v>23</v>
      </c>
      <c r="F383">
        <v>2476</v>
      </c>
      <c r="G383">
        <v>2</v>
      </c>
      <c r="H383" t="s">
        <v>18</v>
      </c>
      <c r="I383">
        <v>1</v>
      </c>
      <c r="J383" t="s">
        <v>18</v>
      </c>
      <c r="K383">
        <f>IF($J383="Yes",1,0)</f>
        <v>0</v>
      </c>
    </row>
    <row r="384" spans="1:11">
      <c r="A384">
        <v>510</v>
      </c>
      <c r="B384">
        <v>26</v>
      </c>
      <c r="C384" t="s">
        <v>15</v>
      </c>
      <c r="D384" t="s">
        <v>16</v>
      </c>
      <c r="E384" t="s">
        <v>17</v>
      </c>
      <c r="F384">
        <v>3102</v>
      </c>
      <c r="G384">
        <v>1</v>
      </c>
      <c r="H384" t="s">
        <v>18</v>
      </c>
      <c r="I384">
        <v>6</v>
      </c>
      <c r="J384" t="s">
        <v>14</v>
      </c>
      <c r="K384">
        <f>IF($J384="Yes",1,0)</f>
        <v>1</v>
      </c>
    </row>
    <row r="385" spans="1:11">
      <c r="A385">
        <v>511</v>
      </c>
      <c r="B385">
        <v>22</v>
      </c>
      <c r="C385" t="s">
        <v>11</v>
      </c>
      <c r="D385" t="s">
        <v>16</v>
      </c>
      <c r="E385" t="s">
        <v>17</v>
      </c>
      <c r="F385">
        <v>2244</v>
      </c>
      <c r="G385">
        <v>2</v>
      </c>
      <c r="H385" t="s">
        <v>18</v>
      </c>
      <c r="I385">
        <v>2</v>
      </c>
      <c r="J385" t="s">
        <v>18</v>
      </c>
      <c r="K385">
        <f>IF($J385="Yes",1,0)</f>
        <v>0</v>
      </c>
    </row>
    <row r="386" spans="1:11">
      <c r="A386">
        <v>513</v>
      </c>
      <c r="B386">
        <v>36</v>
      </c>
      <c r="C386" t="s">
        <v>15</v>
      </c>
      <c r="D386" t="s">
        <v>12</v>
      </c>
      <c r="E386" t="s">
        <v>13</v>
      </c>
      <c r="F386">
        <v>7596</v>
      </c>
      <c r="G386">
        <v>3</v>
      </c>
      <c r="H386" t="s">
        <v>18</v>
      </c>
      <c r="I386">
        <v>10</v>
      </c>
      <c r="J386" t="s">
        <v>18</v>
      </c>
      <c r="K386">
        <f>IF($J386="Yes",1,0)</f>
        <v>0</v>
      </c>
    </row>
    <row r="387" spans="1:11">
      <c r="A387">
        <v>514</v>
      </c>
      <c r="B387">
        <v>30</v>
      </c>
      <c r="C387" t="s">
        <v>15</v>
      </c>
      <c r="D387" t="s">
        <v>16</v>
      </c>
      <c r="E387" t="s">
        <v>17</v>
      </c>
      <c r="F387">
        <v>2285</v>
      </c>
      <c r="G387">
        <v>4</v>
      </c>
      <c r="H387" t="s">
        <v>14</v>
      </c>
      <c r="I387">
        <v>1</v>
      </c>
      <c r="J387" t="s">
        <v>14</v>
      </c>
      <c r="K387">
        <f>IF($J387="Yes",1,0)</f>
        <v>1</v>
      </c>
    </row>
    <row r="388" spans="1:11">
      <c r="A388">
        <v>515</v>
      </c>
      <c r="B388">
        <v>37</v>
      </c>
      <c r="C388" t="s">
        <v>11</v>
      </c>
      <c r="D388" t="s">
        <v>16</v>
      </c>
      <c r="E388" t="s">
        <v>19</v>
      </c>
      <c r="F388">
        <v>3034</v>
      </c>
      <c r="G388">
        <v>1</v>
      </c>
      <c r="H388" t="s">
        <v>18</v>
      </c>
      <c r="I388">
        <v>18</v>
      </c>
      <c r="J388" t="s">
        <v>18</v>
      </c>
      <c r="K388">
        <f>IF($J388="Yes",1,0)</f>
        <v>0</v>
      </c>
    </row>
    <row r="389" spans="1:11">
      <c r="A389">
        <v>516</v>
      </c>
      <c r="B389">
        <v>40</v>
      </c>
      <c r="C389" t="s">
        <v>11</v>
      </c>
      <c r="D389" t="s">
        <v>12</v>
      </c>
      <c r="E389" t="s">
        <v>13</v>
      </c>
      <c r="F389">
        <v>5715</v>
      </c>
      <c r="G389">
        <v>2</v>
      </c>
      <c r="H389" t="s">
        <v>18</v>
      </c>
      <c r="I389">
        <v>5</v>
      </c>
      <c r="J389" t="s">
        <v>18</v>
      </c>
      <c r="K389">
        <f>IF($J389="Yes",1,0)</f>
        <v>0</v>
      </c>
    </row>
    <row r="390" spans="1:11">
      <c r="A390">
        <v>517</v>
      </c>
      <c r="B390">
        <v>42</v>
      </c>
      <c r="C390" t="s">
        <v>11</v>
      </c>
      <c r="D390" t="s">
        <v>16</v>
      </c>
      <c r="E390" t="s">
        <v>19</v>
      </c>
      <c r="F390">
        <v>2576</v>
      </c>
      <c r="G390">
        <v>1</v>
      </c>
      <c r="H390" t="s">
        <v>18</v>
      </c>
      <c r="I390">
        <v>5</v>
      </c>
      <c r="J390" t="s">
        <v>18</v>
      </c>
      <c r="K390">
        <f>IF($J390="Yes",1,0)</f>
        <v>0</v>
      </c>
    </row>
    <row r="391" spans="1:11">
      <c r="A391">
        <v>518</v>
      </c>
      <c r="B391">
        <v>37</v>
      </c>
      <c r="C391" t="s">
        <v>15</v>
      </c>
      <c r="D391" t="s">
        <v>16</v>
      </c>
      <c r="E391" t="s">
        <v>20</v>
      </c>
      <c r="F391">
        <v>4197</v>
      </c>
      <c r="G391">
        <v>2</v>
      </c>
      <c r="H391" t="s">
        <v>14</v>
      </c>
      <c r="I391">
        <v>1</v>
      </c>
      <c r="J391" t="s">
        <v>18</v>
      </c>
      <c r="K391">
        <f>IF($J391="Yes",1,0)</f>
        <v>0</v>
      </c>
    </row>
    <row r="392" spans="1:11">
      <c r="A392">
        <v>520</v>
      </c>
      <c r="B392">
        <v>43</v>
      </c>
      <c r="C392" t="s">
        <v>15</v>
      </c>
      <c r="D392" t="s">
        <v>16</v>
      </c>
      <c r="E392" t="s">
        <v>24</v>
      </c>
      <c r="F392">
        <v>14336</v>
      </c>
      <c r="G392">
        <v>2</v>
      </c>
      <c r="H392" t="s">
        <v>18</v>
      </c>
      <c r="I392">
        <v>25</v>
      </c>
      <c r="J392" t="s">
        <v>18</v>
      </c>
      <c r="K392">
        <f>IF($J392="Yes",1,0)</f>
        <v>0</v>
      </c>
    </row>
    <row r="393" spans="1:11">
      <c r="A393">
        <v>521</v>
      </c>
      <c r="B393">
        <v>40</v>
      </c>
      <c r="C393" t="s">
        <v>11</v>
      </c>
      <c r="D393" t="s">
        <v>16</v>
      </c>
      <c r="E393" t="s">
        <v>19</v>
      </c>
      <c r="F393">
        <v>3448</v>
      </c>
      <c r="G393">
        <v>3</v>
      </c>
      <c r="H393" t="s">
        <v>18</v>
      </c>
      <c r="I393">
        <v>1</v>
      </c>
      <c r="J393" t="s">
        <v>18</v>
      </c>
      <c r="K393">
        <f>IF($J393="Yes",1,0)</f>
        <v>0</v>
      </c>
    </row>
    <row r="394" spans="1:11">
      <c r="A394">
        <v>522</v>
      </c>
      <c r="B394">
        <v>54</v>
      </c>
      <c r="C394" t="s">
        <v>15</v>
      </c>
      <c r="D394" t="s">
        <v>16</v>
      </c>
      <c r="E394" t="s">
        <v>24</v>
      </c>
      <c r="F394">
        <v>19406</v>
      </c>
      <c r="G394">
        <v>1</v>
      </c>
      <c r="H394" t="s">
        <v>18</v>
      </c>
      <c r="I394">
        <v>4</v>
      </c>
      <c r="J394" t="s">
        <v>18</v>
      </c>
      <c r="K394">
        <f>IF($J394="Yes",1,0)</f>
        <v>0</v>
      </c>
    </row>
    <row r="395" spans="1:11">
      <c r="A395">
        <v>523</v>
      </c>
      <c r="B395">
        <v>34</v>
      </c>
      <c r="C395" t="s">
        <v>11</v>
      </c>
      <c r="D395" t="s">
        <v>12</v>
      </c>
      <c r="E395" t="s">
        <v>13</v>
      </c>
      <c r="F395">
        <v>6538</v>
      </c>
      <c r="G395">
        <v>3</v>
      </c>
      <c r="H395" t="s">
        <v>18</v>
      </c>
      <c r="I395">
        <v>3</v>
      </c>
      <c r="J395" t="s">
        <v>18</v>
      </c>
      <c r="K395">
        <f>IF($J395="Yes",1,0)</f>
        <v>0</v>
      </c>
    </row>
    <row r="396" spans="1:11">
      <c r="A396">
        <v>524</v>
      </c>
      <c r="B396">
        <v>31</v>
      </c>
      <c r="C396" t="s">
        <v>11</v>
      </c>
      <c r="D396" t="s">
        <v>16</v>
      </c>
      <c r="E396" t="s">
        <v>20</v>
      </c>
      <c r="F396">
        <v>4306</v>
      </c>
      <c r="G396">
        <v>1</v>
      </c>
      <c r="H396" t="s">
        <v>18</v>
      </c>
      <c r="I396">
        <v>13</v>
      </c>
      <c r="J396" t="s">
        <v>18</v>
      </c>
      <c r="K396">
        <f>IF($J396="Yes",1,0)</f>
        <v>0</v>
      </c>
    </row>
    <row r="397" spans="1:11">
      <c r="A397">
        <v>525</v>
      </c>
      <c r="B397">
        <v>43</v>
      </c>
      <c r="C397" t="s">
        <v>15</v>
      </c>
      <c r="D397" t="s">
        <v>16</v>
      </c>
      <c r="E397" t="s">
        <v>19</v>
      </c>
      <c r="F397">
        <v>2258</v>
      </c>
      <c r="G397">
        <v>4</v>
      </c>
      <c r="H397" t="s">
        <v>18</v>
      </c>
      <c r="I397">
        <v>3</v>
      </c>
      <c r="J397" t="s">
        <v>18</v>
      </c>
      <c r="K397">
        <f>IF($J397="Yes",1,0)</f>
        <v>0</v>
      </c>
    </row>
    <row r="398" spans="1:11">
      <c r="A398">
        <v>526</v>
      </c>
      <c r="B398">
        <v>43</v>
      </c>
      <c r="C398" t="s">
        <v>11</v>
      </c>
      <c r="D398" t="s">
        <v>16</v>
      </c>
      <c r="E398" t="s">
        <v>21</v>
      </c>
      <c r="F398">
        <v>4522</v>
      </c>
      <c r="G398">
        <v>3</v>
      </c>
      <c r="H398" t="s">
        <v>14</v>
      </c>
      <c r="I398">
        <v>5</v>
      </c>
      <c r="J398" t="s">
        <v>18</v>
      </c>
      <c r="K398">
        <f>IF($J398="Yes",1,0)</f>
        <v>0</v>
      </c>
    </row>
    <row r="399" spans="1:11">
      <c r="A399">
        <v>527</v>
      </c>
      <c r="B399">
        <v>25</v>
      </c>
      <c r="C399" t="s">
        <v>11</v>
      </c>
      <c r="D399" t="s">
        <v>12</v>
      </c>
      <c r="E399" t="s">
        <v>13</v>
      </c>
      <c r="F399">
        <v>4487</v>
      </c>
      <c r="G399">
        <v>4</v>
      </c>
      <c r="H399" t="s">
        <v>14</v>
      </c>
      <c r="I399">
        <v>5</v>
      </c>
      <c r="J399" t="s">
        <v>18</v>
      </c>
      <c r="K399">
        <f>IF($J399="Yes",1,0)</f>
        <v>0</v>
      </c>
    </row>
    <row r="400" spans="1:11">
      <c r="A400">
        <v>529</v>
      </c>
      <c r="B400">
        <v>37</v>
      </c>
      <c r="C400" t="s">
        <v>11</v>
      </c>
      <c r="D400" t="s">
        <v>16</v>
      </c>
      <c r="E400" t="s">
        <v>17</v>
      </c>
      <c r="F400">
        <v>4449</v>
      </c>
      <c r="G400">
        <v>3</v>
      </c>
      <c r="H400" t="s">
        <v>14</v>
      </c>
      <c r="I400">
        <v>13</v>
      </c>
      <c r="J400" t="s">
        <v>18</v>
      </c>
      <c r="K400">
        <f>IF($J400="Yes",1,0)</f>
        <v>0</v>
      </c>
    </row>
    <row r="401" spans="1:11">
      <c r="A401">
        <v>530</v>
      </c>
      <c r="B401">
        <v>31</v>
      </c>
      <c r="C401" t="s">
        <v>15</v>
      </c>
      <c r="D401" t="s">
        <v>16</v>
      </c>
      <c r="E401" t="s">
        <v>19</v>
      </c>
      <c r="F401">
        <v>2218</v>
      </c>
      <c r="G401">
        <v>1</v>
      </c>
      <c r="H401" t="s">
        <v>18</v>
      </c>
      <c r="I401">
        <v>4</v>
      </c>
      <c r="J401" t="s">
        <v>18</v>
      </c>
      <c r="K401">
        <f>IF($J401="Yes",1,0)</f>
        <v>0</v>
      </c>
    </row>
    <row r="402" spans="1:11">
      <c r="A402">
        <v>531</v>
      </c>
      <c r="B402">
        <v>39</v>
      </c>
      <c r="C402" t="s">
        <v>15</v>
      </c>
      <c r="D402" t="s">
        <v>16</v>
      </c>
      <c r="E402" t="s">
        <v>22</v>
      </c>
      <c r="F402">
        <v>19197</v>
      </c>
      <c r="G402">
        <v>3</v>
      </c>
      <c r="H402" t="s">
        <v>14</v>
      </c>
      <c r="I402">
        <v>21</v>
      </c>
      <c r="J402" t="s">
        <v>18</v>
      </c>
      <c r="K402">
        <f>IF($J402="Yes",1,0)</f>
        <v>0</v>
      </c>
    </row>
    <row r="403" spans="1:11">
      <c r="A403">
        <v>532</v>
      </c>
      <c r="B403">
        <v>56</v>
      </c>
      <c r="C403" t="s">
        <v>11</v>
      </c>
      <c r="D403" t="s">
        <v>12</v>
      </c>
      <c r="E403" t="s">
        <v>13</v>
      </c>
      <c r="F403">
        <v>13212</v>
      </c>
      <c r="G403">
        <v>1</v>
      </c>
      <c r="H403" t="s">
        <v>18</v>
      </c>
      <c r="I403">
        <v>7</v>
      </c>
      <c r="J403" t="s">
        <v>18</v>
      </c>
      <c r="K403">
        <f>IF($J403="Yes",1,0)</f>
        <v>0</v>
      </c>
    </row>
    <row r="404" spans="1:11">
      <c r="A404">
        <v>533</v>
      </c>
      <c r="B404">
        <v>30</v>
      </c>
      <c r="C404" t="s">
        <v>11</v>
      </c>
      <c r="D404" t="s">
        <v>12</v>
      </c>
      <c r="E404" t="s">
        <v>13</v>
      </c>
      <c r="F404">
        <v>6577</v>
      </c>
      <c r="G404">
        <v>3</v>
      </c>
      <c r="H404" t="s">
        <v>18</v>
      </c>
      <c r="I404">
        <v>5</v>
      </c>
      <c r="J404" t="s">
        <v>18</v>
      </c>
      <c r="K404">
        <f>IF($J404="Yes",1,0)</f>
        <v>0</v>
      </c>
    </row>
    <row r="405" spans="1:11">
      <c r="A405">
        <v>534</v>
      </c>
      <c r="B405">
        <v>41</v>
      </c>
      <c r="C405" t="s">
        <v>15</v>
      </c>
      <c r="D405" t="s">
        <v>12</v>
      </c>
      <c r="E405" t="s">
        <v>13</v>
      </c>
      <c r="F405">
        <v>8392</v>
      </c>
      <c r="G405">
        <v>1</v>
      </c>
      <c r="H405" t="s">
        <v>18</v>
      </c>
      <c r="I405">
        <v>10</v>
      </c>
      <c r="J405" t="s">
        <v>18</v>
      </c>
      <c r="K405">
        <f>IF($J405="Yes",1,0)</f>
        <v>0</v>
      </c>
    </row>
    <row r="406" spans="1:11">
      <c r="A406">
        <v>536</v>
      </c>
      <c r="B406">
        <v>28</v>
      </c>
      <c r="C406" t="s">
        <v>15</v>
      </c>
      <c r="D406" t="s">
        <v>16</v>
      </c>
      <c r="E406" t="s">
        <v>19</v>
      </c>
      <c r="F406">
        <v>4558</v>
      </c>
      <c r="G406">
        <v>1</v>
      </c>
      <c r="H406" t="s">
        <v>18</v>
      </c>
      <c r="I406">
        <v>10</v>
      </c>
      <c r="J406" t="s">
        <v>18</v>
      </c>
      <c r="K406">
        <f>IF($J406="Yes",1,0)</f>
        <v>0</v>
      </c>
    </row>
    <row r="407" spans="1:11">
      <c r="A407">
        <v>538</v>
      </c>
      <c r="B407">
        <v>25</v>
      </c>
      <c r="C407" t="s">
        <v>15</v>
      </c>
      <c r="D407" t="s">
        <v>16</v>
      </c>
      <c r="E407" t="s">
        <v>19</v>
      </c>
      <c r="F407">
        <v>4031</v>
      </c>
      <c r="G407">
        <v>1</v>
      </c>
      <c r="H407" t="s">
        <v>18</v>
      </c>
      <c r="I407">
        <v>2</v>
      </c>
      <c r="J407" t="s">
        <v>14</v>
      </c>
      <c r="K407">
        <f>IF($J407="Yes",1,0)</f>
        <v>1</v>
      </c>
    </row>
    <row r="408" spans="1:11">
      <c r="A408">
        <v>543</v>
      </c>
      <c r="B408">
        <v>52</v>
      </c>
      <c r="C408" t="s">
        <v>15</v>
      </c>
      <c r="D408" t="s">
        <v>16</v>
      </c>
      <c r="E408" t="s">
        <v>20</v>
      </c>
      <c r="F408">
        <v>7969</v>
      </c>
      <c r="G408">
        <v>3</v>
      </c>
      <c r="H408" t="s">
        <v>14</v>
      </c>
      <c r="I408">
        <v>5</v>
      </c>
      <c r="J408" t="s">
        <v>18</v>
      </c>
      <c r="K408">
        <f>IF($J408="Yes",1,0)</f>
        <v>0</v>
      </c>
    </row>
    <row r="409" spans="1:11">
      <c r="A409">
        <v>544</v>
      </c>
      <c r="B409">
        <v>45</v>
      </c>
      <c r="C409" t="s">
        <v>15</v>
      </c>
      <c r="D409" t="s">
        <v>16</v>
      </c>
      <c r="E409" t="s">
        <v>17</v>
      </c>
      <c r="F409">
        <v>2654</v>
      </c>
      <c r="G409">
        <v>4</v>
      </c>
      <c r="H409" t="s">
        <v>18</v>
      </c>
      <c r="I409">
        <v>2</v>
      </c>
      <c r="J409" t="s">
        <v>18</v>
      </c>
      <c r="K409">
        <f>IF($J409="Yes",1,0)</f>
        <v>0</v>
      </c>
    </row>
    <row r="410" spans="1:11">
      <c r="A410">
        <v>546</v>
      </c>
      <c r="B410">
        <v>52</v>
      </c>
      <c r="C410" t="s">
        <v>11</v>
      </c>
      <c r="D410" t="s">
        <v>16</v>
      </c>
      <c r="E410" t="s">
        <v>22</v>
      </c>
      <c r="F410">
        <v>16555</v>
      </c>
      <c r="G410">
        <v>4</v>
      </c>
      <c r="H410" t="s">
        <v>18</v>
      </c>
      <c r="I410">
        <v>5</v>
      </c>
      <c r="J410" t="s">
        <v>18</v>
      </c>
      <c r="K410">
        <f>IF($J410="Yes",1,0)</f>
        <v>0</v>
      </c>
    </row>
    <row r="411" spans="1:11">
      <c r="A411">
        <v>547</v>
      </c>
      <c r="B411">
        <v>42</v>
      </c>
      <c r="C411" t="s">
        <v>11</v>
      </c>
      <c r="D411" t="s">
        <v>16</v>
      </c>
      <c r="E411" t="s">
        <v>17</v>
      </c>
      <c r="F411">
        <v>4556</v>
      </c>
      <c r="G411">
        <v>3</v>
      </c>
      <c r="H411" t="s">
        <v>18</v>
      </c>
      <c r="I411">
        <v>5</v>
      </c>
      <c r="J411" t="s">
        <v>18</v>
      </c>
      <c r="K411">
        <f>IF($J411="Yes",1,0)</f>
        <v>0</v>
      </c>
    </row>
    <row r="412" spans="1:11">
      <c r="A412">
        <v>548</v>
      </c>
      <c r="B412">
        <v>30</v>
      </c>
      <c r="C412" t="s">
        <v>11</v>
      </c>
      <c r="D412" t="s">
        <v>16</v>
      </c>
      <c r="E412" t="s">
        <v>20</v>
      </c>
      <c r="F412">
        <v>6091</v>
      </c>
      <c r="G412">
        <v>4</v>
      </c>
      <c r="H412" t="s">
        <v>18</v>
      </c>
      <c r="I412">
        <v>5</v>
      </c>
      <c r="J412" t="s">
        <v>18</v>
      </c>
      <c r="K412">
        <f>IF($J412="Yes",1,0)</f>
        <v>0</v>
      </c>
    </row>
    <row r="413" spans="1:11">
      <c r="A413">
        <v>549</v>
      </c>
      <c r="B413">
        <v>60</v>
      </c>
      <c r="C413" t="s">
        <v>11</v>
      </c>
      <c r="D413" t="s">
        <v>16</v>
      </c>
      <c r="E413" t="s">
        <v>22</v>
      </c>
      <c r="F413">
        <v>19566</v>
      </c>
      <c r="G413">
        <v>1</v>
      </c>
      <c r="H413" t="s">
        <v>18</v>
      </c>
      <c r="I413">
        <v>29</v>
      </c>
      <c r="J413" t="s">
        <v>18</v>
      </c>
      <c r="K413">
        <f>IF($J413="Yes",1,0)</f>
        <v>0</v>
      </c>
    </row>
    <row r="414" spans="1:11">
      <c r="A414">
        <v>550</v>
      </c>
      <c r="B414">
        <v>46</v>
      </c>
      <c r="C414" t="s">
        <v>11</v>
      </c>
      <c r="D414" t="s">
        <v>16</v>
      </c>
      <c r="E414" t="s">
        <v>20</v>
      </c>
      <c r="F414">
        <v>4810</v>
      </c>
      <c r="G414">
        <v>3</v>
      </c>
      <c r="H414" t="s">
        <v>18</v>
      </c>
      <c r="I414">
        <v>10</v>
      </c>
      <c r="J414" t="s">
        <v>18</v>
      </c>
      <c r="K414">
        <f>IF($J414="Yes",1,0)</f>
        <v>0</v>
      </c>
    </row>
    <row r="415" spans="1:11">
      <c r="A415">
        <v>551</v>
      </c>
      <c r="B415">
        <v>42</v>
      </c>
      <c r="C415" t="s">
        <v>11</v>
      </c>
      <c r="D415" t="s">
        <v>16</v>
      </c>
      <c r="E415" t="s">
        <v>21</v>
      </c>
      <c r="F415">
        <v>4523</v>
      </c>
      <c r="G415">
        <v>4</v>
      </c>
      <c r="H415" t="s">
        <v>18</v>
      </c>
      <c r="I415">
        <v>6</v>
      </c>
      <c r="J415" t="s">
        <v>18</v>
      </c>
      <c r="K415">
        <f>IF($J415="Yes",1,0)</f>
        <v>0</v>
      </c>
    </row>
    <row r="416" spans="1:11">
      <c r="A416">
        <v>554</v>
      </c>
      <c r="B416">
        <v>24</v>
      </c>
      <c r="C416" t="s">
        <v>11</v>
      </c>
      <c r="D416" t="s">
        <v>12</v>
      </c>
      <c r="E416" t="s">
        <v>23</v>
      </c>
      <c r="F416">
        <v>3202</v>
      </c>
      <c r="G416">
        <v>2</v>
      </c>
      <c r="H416" t="s">
        <v>14</v>
      </c>
      <c r="I416">
        <v>5</v>
      </c>
      <c r="J416" t="s">
        <v>14</v>
      </c>
      <c r="K416">
        <f>IF($J416="Yes",1,0)</f>
        <v>1</v>
      </c>
    </row>
    <row r="417" spans="1:11">
      <c r="A417">
        <v>555</v>
      </c>
      <c r="B417">
        <v>34</v>
      </c>
      <c r="C417" t="s">
        <v>11</v>
      </c>
      <c r="D417" t="s">
        <v>12</v>
      </c>
      <c r="E417" t="s">
        <v>23</v>
      </c>
      <c r="F417">
        <v>2351</v>
      </c>
      <c r="G417">
        <v>3</v>
      </c>
      <c r="H417" t="s">
        <v>18</v>
      </c>
      <c r="I417">
        <v>2</v>
      </c>
      <c r="J417" t="s">
        <v>14</v>
      </c>
      <c r="K417">
        <f>IF($J417="Yes",1,0)</f>
        <v>1</v>
      </c>
    </row>
    <row r="418" spans="1:11">
      <c r="A418">
        <v>556</v>
      </c>
      <c r="B418">
        <v>38</v>
      </c>
      <c r="C418" t="s">
        <v>15</v>
      </c>
      <c r="D418" t="s">
        <v>16</v>
      </c>
      <c r="E418" t="s">
        <v>19</v>
      </c>
      <c r="F418">
        <v>1702</v>
      </c>
      <c r="G418">
        <v>4</v>
      </c>
      <c r="H418" t="s">
        <v>14</v>
      </c>
      <c r="I418">
        <v>1</v>
      </c>
      <c r="J418" t="s">
        <v>18</v>
      </c>
      <c r="K418">
        <f>IF($J418="Yes",1,0)</f>
        <v>0</v>
      </c>
    </row>
    <row r="419" spans="1:11">
      <c r="A419">
        <v>558</v>
      </c>
      <c r="B419">
        <v>40</v>
      </c>
      <c r="C419" t="s">
        <v>11</v>
      </c>
      <c r="D419" t="s">
        <v>12</v>
      </c>
      <c r="E419" t="s">
        <v>22</v>
      </c>
      <c r="F419">
        <v>18041</v>
      </c>
      <c r="G419">
        <v>3</v>
      </c>
      <c r="H419" t="s">
        <v>18</v>
      </c>
      <c r="I419">
        <v>20</v>
      </c>
      <c r="J419" t="s">
        <v>18</v>
      </c>
      <c r="K419">
        <f>IF($J419="Yes",1,0)</f>
        <v>0</v>
      </c>
    </row>
    <row r="420" spans="1:11">
      <c r="A420">
        <v>560</v>
      </c>
      <c r="B420">
        <v>26</v>
      </c>
      <c r="C420" t="s">
        <v>11</v>
      </c>
      <c r="D420" t="s">
        <v>16</v>
      </c>
      <c r="E420" t="s">
        <v>17</v>
      </c>
      <c r="F420">
        <v>2886</v>
      </c>
      <c r="G420">
        <v>4</v>
      </c>
      <c r="H420" t="s">
        <v>18</v>
      </c>
      <c r="I420">
        <v>3</v>
      </c>
      <c r="J420" t="s">
        <v>18</v>
      </c>
      <c r="K420">
        <f>IF($J420="Yes",1,0)</f>
        <v>0</v>
      </c>
    </row>
    <row r="421" spans="1:11">
      <c r="A421">
        <v>562</v>
      </c>
      <c r="B421">
        <v>30</v>
      </c>
      <c r="C421" t="s">
        <v>15</v>
      </c>
      <c r="D421" t="s">
        <v>16</v>
      </c>
      <c r="E421" t="s">
        <v>19</v>
      </c>
      <c r="F421">
        <v>2097</v>
      </c>
      <c r="G421">
        <v>4</v>
      </c>
      <c r="H421" t="s">
        <v>18</v>
      </c>
      <c r="I421">
        <v>5</v>
      </c>
      <c r="J421" t="s">
        <v>18</v>
      </c>
      <c r="K421">
        <f>IF($J421="Yes",1,0)</f>
        <v>0</v>
      </c>
    </row>
    <row r="422" spans="1:11">
      <c r="A422">
        <v>564</v>
      </c>
      <c r="B422">
        <v>29</v>
      </c>
      <c r="C422" t="s">
        <v>15</v>
      </c>
      <c r="D422" t="s">
        <v>16</v>
      </c>
      <c r="E422" t="s">
        <v>24</v>
      </c>
      <c r="F422">
        <v>11935</v>
      </c>
      <c r="G422">
        <v>3</v>
      </c>
      <c r="H422" t="s">
        <v>18</v>
      </c>
      <c r="I422">
        <v>10</v>
      </c>
      <c r="J422" t="s">
        <v>18</v>
      </c>
      <c r="K422">
        <f>IF($J422="Yes",1,0)</f>
        <v>0</v>
      </c>
    </row>
    <row r="423" spans="1:11">
      <c r="A423">
        <v>565</v>
      </c>
      <c r="B423">
        <v>29</v>
      </c>
      <c r="C423" t="s">
        <v>11</v>
      </c>
      <c r="D423" t="s">
        <v>16</v>
      </c>
      <c r="E423" t="s">
        <v>17</v>
      </c>
      <c r="F423">
        <v>2546</v>
      </c>
      <c r="G423">
        <v>2</v>
      </c>
      <c r="H423" t="s">
        <v>18</v>
      </c>
      <c r="I423">
        <v>2</v>
      </c>
      <c r="J423" t="s">
        <v>14</v>
      </c>
      <c r="K423">
        <f>IF($J423="Yes",1,0)</f>
        <v>1</v>
      </c>
    </row>
    <row r="424" spans="1:11">
      <c r="A424">
        <v>566</v>
      </c>
      <c r="B424">
        <v>19</v>
      </c>
      <c r="C424" t="s">
        <v>15</v>
      </c>
      <c r="D424" t="s">
        <v>25</v>
      </c>
      <c r="E424" t="s">
        <v>25</v>
      </c>
      <c r="F424">
        <v>2564</v>
      </c>
      <c r="G424">
        <v>4</v>
      </c>
      <c r="H424" t="s">
        <v>18</v>
      </c>
      <c r="I424">
        <v>1</v>
      </c>
      <c r="J424" t="s">
        <v>14</v>
      </c>
      <c r="K424">
        <f>IF($J424="Yes",1,0)</f>
        <v>1</v>
      </c>
    </row>
    <row r="425" spans="1:11">
      <c r="A425">
        <v>567</v>
      </c>
      <c r="B425">
        <v>30</v>
      </c>
      <c r="C425" t="s">
        <v>11</v>
      </c>
      <c r="D425" t="s">
        <v>12</v>
      </c>
      <c r="E425" t="s">
        <v>13</v>
      </c>
      <c r="F425">
        <v>8412</v>
      </c>
      <c r="G425">
        <v>1</v>
      </c>
      <c r="H425" t="s">
        <v>18</v>
      </c>
      <c r="I425">
        <v>9</v>
      </c>
      <c r="J425" t="s">
        <v>18</v>
      </c>
      <c r="K425">
        <f>IF($J425="Yes",1,0)</f>
        <v>0</v>
      </c>
    </row>
    <row r="426" spans="1:11">
      <c r="A426">
        <v>568</v>
      </c>
      <c r="B426">
        <v>57</v>
      </c>
      <c r="C426" t="s">
        <v>15</v>
      </c>
      <c r="D426" t="s">
        <v>12</v>
      </c>
      <c r="E426" t="s">
        <v>22</v>
      </c>
      <c r="F426">
        <v>14118</v>
      </c>
      <c r="G426">
        <v>4</v>
      </c>
      <c r="H426" t="s">
        <v>18</v>
      </c>
      <c r="I426">
        <v>1</v>
      </c>
      <c r="J426" t="s">
        <v>18</v>
      </c>
      <c r="K426">
        <f>IF($J426="Yes",1,0)</f>
        <v>0</v>
      </c>
    </row>
    <row r="427" spans="1:11">
      <c r="A427">
        <v>569</v>
      </c>
      <c r="B427">
        <v>50</v>
      </c>
      <c r="C427" t="s">
        <v>15</v>
      </c>
      <c r="D427" t="s">
        <v>16</v>
      </c>
      <c r="E427" t="s">
        <v>22</v>
      </c>
      <c r="F427">
        <v>17046</v>
      </c>
      <c r="G427">
        <v>3</v>
      </c>
      <c r="H427" t="s">
        <v>18</v>
      </c>
      <c r="I427">
        <v>27</v>
      </c>
      <c r="J427" t="s">
        <v>18</v>
      </c>
      <c r="K427">
        <f>IF($J427="Yes",1,0)</f>
        <v>0</v>
      </c>
    </row>
    <row r="428" spans="1:11">
      <c r="A428">
        <v>571</v>
      </c>
      <c r="B428">
        <v>30</v>
      </c>
      <c r="C428" t="s">
        <v>11</v>
      </c>
      <c r="D428" t="s">
        <v>16</v>
      </c>
      <c r="E428" t="s">
        <v>19</v>
      </c>
      <c r="F428">
        <v>2564</v>
      </c>
      <c r="G428">
        <v>4</v>
      </c>
      <c r="H428" t="s">
        <v>18</v>
      </c>
      <c r="I428">
        <v>11</v>
      </c>
      <c r="J428" t="s">
        <v>18</v>
      </c>
      <c r="K428">
        <f>IF($J428="Yes",1,0)</f>
        <v>0</v>
      </c>
    </row>
    <row r="429" spans="1:11">
      <c r="A429">
        <v>573</v>
      </c>
      <c r="B429">
        <v>60</v>
      </c>
      <c r="C429" t="s">
        <v>11</v>
      </c>
      <c r="D429" t="s">
        <v>12</v>
      </c>
      <c r="E429" t="s">
        <v>13</v>
      </c>
      <c r="F429">
        <v>10266</v>
      </c>
      <c r="G429">
        <v>1</v>
      </c>
      <c r="H429" t="s">
        <v>18</v>
      </c>
      <c r="I429">
        <v>18</v>
      </c>
      <c r="J429" t="s">
        <v>18</v>
      </c>
      <c r="K429">
        <f>IF($J429="Yes",1,0)</f>
        <v>0</v>
      </c>
    </row>
    <row r="430" spans="1:11">
      <c r="A430">
        <v>574</v>
      </c>
      <c r="B430">
        <v>47</v>
      </c>
      <c r="C430" t="s">
        <v>11</v>
      </c>
      <c r="D430" t="s">
        <v>16</v>
      </c>
      <c r="E430" t="s">
        <v>20</v>
      </c>
      <c r="F430">
        <v>5070</v>
      </c>
      <c r="G430">
        <v>4</v>
      </c>
      <c r="H430" t="s">
        <v>18</v>
      </c>
      <c r="I430">
        <v>5</v>
      </c>
      <c r="J430" t="s">
        <v>18</v>
      </c>
      <c r="K430">
        <f>IF($J430="Yes",1,0)</f>
        <v>0</v>
      </c>
    </row>
    <row r="431" spans="1:11">
      <c r="A431">
        <v>575</v>
      </c>
      <c r="B431">
        <v>46</v>
      </c>
      <c r="C431" t="s">
        <v>15</v>
      </c>
      <c r="D431" t="s">
        <v>16</v>
      </c>
      <c r="E431" t="s">
        <v>24</v>
      </c>
      <c r="F431">
        <v>17861</v>
      </c>
      <c r="G431">
        <v>3</v>
      </c>
      <c r="H431" t="s">
        <v>18</v>
      </c>
      <c r="I431">
        <v>3</v>
      </c>
      <c r="J431" t="s">
        <v>18</v>
      </c>
      <c r="K431">
        <f>IF($J431="Yes",1,0)</f>
        <v>0</v>
      </c>
    </row>
    <row r="432" spans="1:11">
      <c r="A432">
        <v>577</v>
      </c>
      <c r="B432">
        <v>35</v>
      </c>
      <c r="C432" t="s">
        <v>15</v>
      </c>
      <c r="D432" t="s">
        <v>16</v>
      </c>
      <c r="E432" t="s">
        <v>19</v>
      </c>
      <c r="F432">
        <v>4230</v>
      </c>
      <c r="G432">
        <v>3</v>
      </c>
      <c r="H432" t="s">
        <v>18</v>
      </c>
      <c r="I432">
        <v>5</v>
      </c>
      <c r="J432" t="s">
        <v>18</v>
      </c>
      <c r="K432">
        <f>IF($J432="Yes",1,0)</f>
        <v>0</v>
      </c>
    </row>
    <row r="433" spans="1:11">
      <c r="A433">
        <v>578</v>
      </c>
      <c r="B433">
        <v>54</v>
      </c>
      <c r="C433" t="s">
        <v>11</v>
      </c>
      <c r="D433" t="s">
        <v>16</v>
      </c>
      <c r="E433" t="s">
        <v>19</v>
      </c>
      <c r="F433">
        <v>3780</v>
      </c>
      <c r="G433">
        <v>3</v>
      </c>
      <c r="H433" t="s">
        <v>18</v>
      </c>
      <c r="I433">
        <v>1</v>
      </c>
      <c r="J433" t="s">
        <v>18</v>
      </c>
      <c r="K433">
        <f>IF($J433="Yes",1,0)</f>
        <v>0</v>
      </c>
    </row>
    <row r="434" spans="1:11">
      <c r="A434">
        <v>579</v>
      </c>
      <c r="B434">
        <v>34</v>
      </c>
      <c r="C434" t="s">
        <v>15</v>
      </c>
      <c r="D434" t="s">
        <v>16</v>
      </c>
      <c r="E434" t="s">
        <v>17</v>
      </c>
      <c r="F434">
        <v>2768</v>
      </c>
      <c r="G434">
        <v>3</v>
      </c>
      <c r="H434" t="s">
        <v>18</v>
      </c>
      <c r="I434">
        <v>7</v>
      </c>
      <c r="J434" t="s">
        <v>18</v>
      </c>
      <c r="K434">
        <f>IF($J434="Yes",1,0)</f>
        <v>0</v>
      </c>
    </row>
    <row r="435" spans="1:11">
      <c r="A435">
        <v>580</v>
      </c>
      <c r="B435">
        <v>46</v>
      </c>
      <c r="C435" t="s">
        <v>11</v>
      </c>
      <c r="D435" t="s">
        <v>12</v>
      </c>
      <c r="E435" t="s">
        <v>13</v>
      </c>
      <c r="F435">
        <v>9071</v>
      </c>
      <c r="G435">
        <v>4</v>
      </c>
      <c r="H435" t="s">
        <v>14</v>
      </c>
      <c r="I435">
        <v>3</v>
      </c>
      <c r="J435" t="s">
        <v>18</v>
      </c>
      <c r="K435">
        <f>IF($J435="Yes",1,0)</f>
        <v>0</v>
      </c>
    </row>
    <row r="436" spans="1:11">
      <c r="A436">
        <v>581</v>
      </c>
      <c r="B436">
        <v>31</v>
      </c>
      <c r="C436" t="s">
        <v>15</v>
      </c>
      <c r="D436" t="s">
        <v>16</v>
      </c>
      <c r="E436" t="s">
        <v>20</v>
      </c>
      <c r="F436">
        <v>10648</v>
      </c>
      <c r="G436">
        <v>2</v>
      </c>
      <c r="H436" t="s">
        <v>18</v>
      </c>
      <c r="I436">
        <v>13</v>
      </c>
      <c r="J436" t="s">
        <v>18</v>
      </c>
      <c r="K436">
        <f>IF($J436="Yes",1,0)</f>
        <v>0</v>
      </c>
    </row>
    <row r="437" spans="1:11">
      <c r="A437">
        <v>582</v>
      </c>
      <c r="B437">
        <v>33</v>
      </c>
      <c r="C437" t="s">
        <v>15</v>
      </c>
      <c r="D437" t="s">
        <v>16</v>
      </c>
      <c r="E437" t="s">
        <v>22</v>
      </c>
      <c r="F437">
        <v>13610</v>
      </c>
      <c r="G437">
        <v>3</v>
      </c>
      <c r="H437" t="s">
        <v>14</v>
      </c>
      <c r="I437">
        <v>7</v>
      </c>
      <c r="J437" t="s">
        <v>14</v>
      </c>
      <c r="K437">
        <f>IF($J437="Yes",1,0)</f>
        <v>1</v>
      </c>
    </row>
    <row r="438" spans="1:11">
      <c r="A438">
        <v>584</v>
      </c>
      <c r="B438">
        <v>33</v>
      </c>
      <c r="C438" t="s">
        <v>15</v>
      </c>
      <c r="D438" t="s">
        <v>16</v>
      </c>
      <c r="E438" t="s">
        <v>19</v>
      </c>
      <c r="F438">
        <v>3408</v>
      </c>
      <c r="G438">
        <v>4</v>
      </c>
      <c r="H438" t="s">
        <v>18</v>
      </c>
      <c r="I438">
        <v>4</v>
      </c>
      <c r="J438" t="s">
        <v>14</v>
      </c>
      <c r="K438">
        <f>IF($J438="Yes",1,0)</f>
        <v>1</v>
      </c>
    </row>
    <row r="439" spans="1:11">
      <c r="A439">
        <v>585</v>
      </c>
      <c r="B439">
        <v>30</v>
      </c>
      <c r="C439" t="s">
        <v>15</v>
      </c>
      <c r="D439" t="s">
        <v>12</v>
      </c>
      <c r="E439" t="s">
        <v>23</v>
      </c>
      <c r="F439">
        <v>2983</v>
      </c>
      <c r="G439">
        <v>2</v>
      </c>
      <c r="H439" t="s">
        <v>18</v>
      </c>
      <c r="I439">
        <v>3</v>
      </c>
      <c r="J439" t="s">
        <v>18</v>
      </c>
      <c r="K439">
        <f>IF($J439="Yes",1,0)</f>
        <v>0</v>
      </c>
    </row>
    <row r="440" spans="1:11">
      <c r="A440">
        <v>586</v>
      </c>
      <c r="B440">
        <v>35</v>
      </c>
      <c r="C440" t="s">
        <v>15</v>
      </c>
      <c r="D440" t="s">
        <v>16</v>
      </c>
      <c r="E440" t="s">
        <v>21</v>
      </c>
      <c r="F440">
        <v>7632</v>
      </c>
      <c r="G440">
        <v>3</v>
      </c>
      <c r="H440" t="s">
        <v>14</v>
      </c>
      <c r="I440">
        <v>8</v>
      </c>
      <c r="J440" t="s">
        <v>18</v>
      </c>
      <c r="K440">
        <f>IF($J440="Yes",1,0)</f>
        <v>0</v>
      </c>
    </row>
    <row r="441" spans="1:11">
      <c r="A441">
        <v>587</v>
      </c>
      <c r="B441">
        <v>31</v>
      </c>
      <c r="C441" t="s">
        <v>15</v>
      </c>
      <c r="D441" t="s">
        <v>16</v>
      </c>
      <c r="E441" t="s">
        <v>21</v>
      </c>
      <c r="F441">
        <v>9824</v>
      </c>
      <c r="G441">
        <v>3</v>
      </c>
      <c r="H441" t="s">
        <v>18</v>
      </c>
      <c r="I441">
        <v>1</v>
      </c>
      <c r="J441" t="s">
        <v>14</v>
      </c>
      <c r="K441">
        <f>IF($J441="Yes",1,0)</f>
        <v>1</v>
      </c>
    </row>
    <row r="442" spans="1:11">
      <c r="A442">
        <v>590</v>
      </c>
      <c r="B442">
        <v>34</v>
      </c>
      <c r="C442" t="s">
        <v>11</v>
      </c>
      <c r="D442" t="s">
        <v>25</v>
      </c>
      <c r="E442" t="s">
        <v>25</v>
      </c>
      <c r="F442">
        <v>9950</v>
      </c>
      <c r="G442">
        <v>1</v>
      </c>
      <c r="H442" t="s">
        <v>14</v>
      </c>
      <c r="I442">
        <v>3</v>
      </c>
      <c r="J442" t="s">
        <v>14</v>
      </c>
      <c r="K442">
        <f>IF($J442="Yes",1,0)</f>
        <v>1</v>
      </c>
    </row>
    <row r="443" spans="1:11">
      <c r="A443">
        <v>591</v>
      </c>
      <c r="B443">
        <v>42</v>
      </c>
      <c r="C443" t="s">
        <v>15</v>
      </c>
      <c r="D443" t="s">
        <v>16</v>
      </c>
      <c r="E443" t="s">
        <v>19</v>
      </c>
      <c r="F443">
        <v>2093</v>
      </c>
      <c r="G443">
        <v>3</v>
      </c>
      <c r="H443" t="s">
        <v>18</v>
      </c>
      <c r="I443">
        <v>2</v>
      </c>
      <c r="J443" t="s">
        <v>18</v>
      </c>
      <c r="K443">
        <f>IF($J443="Yes",1,0)</f>
        <v>0</v>
      </c>
    </row>
    <row r="444" spans="1:11">
      <c r="A444">
        <v>592</v>
      </c>
      <c r="B444">
        <v>36</v>
      </c>
      <c r="C444" t="s">
        <v>15</v>
      </c>
      <c r="D444" t="s">
        <v>12</v>
      </c>
      <c r="E444" t="s">
        <v>13</v>
      </c>
      <c r="F444">
        <v>9980</v>
      </c>
      <c r="G444">
        <v>4</v>
      </c>
      <c r="H444" t="s">
        <v>18</v>
      </c>
      <c r="I444">
        <v>10</v>
      </c>
      <c r="J444" t="s">
        <v>18</v>
      </c>
      <c r="K444">
        <f>IF($J444="Yes",1,0)</f>
        <v>0</v>
      </c>
    </row>
    <row r="445" spans="1:11">
      <c r="A445">
        <v>593</v>
      </c>
      <c r="B445">
        <v>22</v>
      </c>
      <c r="C445" t="s">
        <v>15</v>
      </c>
      <c r="D445" t="s">
        <v>16</v>
      </c>
      <c r="E445" t="s">
        <v>19</v>
      </c>
      <c r="F445">
        <v>3894</v>
      </c>
      <c r="G445">
        <v>3</v>
      </c>
      <c r="H445" t="s">
        <v>18</v>
      </c>
      <c r="I445">
        <v>2</v>
      </c>
      <c r="J445" t="s">
        <v>14</v>
      </c>
      <c r="K445">
        <f>IF($J445="Yes",1,0)</f>
        <v>1</v>
      </c>
    </row>
    <row r="446" spans="1:11">
      <c r="A446">
        <v>595</v>
      </c>
      <c r="B446">
        <v>48</v>
      </c>
      <c r="C446" t="s">
        <v>11</v>
      </c>
      <c r="D446" t="s">
        <v>12</v>
      </c>
      <c r="E446" t="s">
        <v>13</v>
      </c>
      <c r="F446">
        <v>4051</v>
      </c>
      <c r="G446">
        <v>4</v>
      </c>
      <c r="H446" t="s">
        <v>18</v>
      </c>
      <c r="I446">
        <v>9</v>
      </c>
      <c r="J446" t="s">
        <v>18</v>
      </c>
      <c r="K446">
        <f>IF($J446="Yes",1,0)</f>
        <v>0</v>
      </c>
    </row>
    <row r="447" spans="1:11">
      <c r="A447">
        <v>597</v>
      </c>
      <c r="B447">
        <v>55</v>
      </c>
      <c r="C447" t="s">
        <v>11</v>
      </c>
      <c r="D447" t="s">
        <v>12</v>
      </c>
      <c r="E447" t="s">
        <v>22</v>
      </c>
      <c r="F447">
        <v>16835</v>
      </c>
      <c r="G447">
        <v>2</v>
      </c>
      <c r="H447" t="s">
        <v>18</v>
      </c>
      <c r="I447">
        <v>10</v>
      </c>
      <c r="J447" t="s">
        <v>18</v>
      </c>
      <c r="K447">
        <f>IF($J447="Yes",1,0)</f>
        <v>0</v>
      </c>
    </row>
    <row r="448" spans="1:11">
      <c r="A448">
        <v>599</v>
      </c>
      <c r="B448">
        <v>41</v>
      </c>
      <c r="C448" t="s">
        <v>15</v>
      </c>
      <c r="D448" t="s">
        <v>12</v>
      </c>
      <c r="E448" t="s">
        <v>13</v>
      </c>
      <c r="F448">
        <v>6230</v>
      </c>
      <c r="G448">
        <v>4</v>
      </c>
      <c r="H448" t="s">
        <v>18</v>
      </c>
      <c r="I448">
        <v>14</v>
      </c>
      <c r="J448" t="s">
        <v>18</v>
      </c>
      <c r="K448">
        <f>IF($J448="Yes",1,0)</f>
        <v>0</v>
      </c>
    </row>
    <row r="449" spans="1:11">
      <c r="A449">
        <v>600</v>
      </c>
      <c r="B449">
        <v>35</v>
      </c>
      <c r="C449" t="s">
        <v>15</v>
      </c>
      <c r="D449" t="s">
        <v>12</v>
      </c>
      <c r="E449" t="s">
        <v>13</v>
      </c>
      <c r="F449">
        <v>4717</v>
      </c>
      <c r="G449">
        <v>3</v>
      </c>
      <c r="H449" t="s">
        <v>18</v>
      </c>
      <c r="I449">
        <v>11</v>
      </c>
      <c r="J449" t="s">
        <v>18</v>
      </c>
      <c r="K449">
        <f>IF($J449="Yes",1,0)</f>
        <v>0</v>
      </c>
    </row>
    <row r="450" spans="1:11">
      <c r="A450">
        <v>601</v>
      </c>
      <c r="B450">
        <v>40</v>
      </c>
      <c r="C450" t="s">
        <v>11</v>
      </c>
      <c r="D450" t="s">
        <v>16</v>
      </c>
      <c r="E450" t="s">
        <v>20</v>
      </c>
      <c r="F450">
        <v>13237</v>
      </c>
      <c r="G450">
        <v>3</v>
      </c>
      <c r="H450" t="s">
        <v>18</v>
      </c>
      <c r="I450">
        <v>20</v>
      </c>
      <c r="J450" t="s">
        <v>18</v>
      </c>
      <c r="K450">
        <f>IF($J450="Yes",1,0)</f>
        <v>0</v>
      </c>
    </row>
    <row r="451" spans="1:11">
      <c r="A451">
        <v>602</v>
      </c>
      <c r="B451">
        <v>39</v>
      </c>
      <c r="C451" t="s">
        <v>11</v>
      </c>
      <c r="D451" t="s">
        <v>16</v>
      </c>
      <c r="E451" t="s">
        <v>19</v>
      </c>
      <c r="F451">
        <v>3755</v>
      </c>
      <c r="G451">
        <v>3</v>
      </c>
      <c r="H451" t="s">
        <v>18</v>
      </c>
      <c r="I451">
        <v>8</v>
      </c>
      <c r="J451" t="s">
        <v>18</v>
      </c>
      <c r="K451">
        <f>IF($J451="Yes",1,0)</f>
        <v>0</v>
      </c>
    </row>
    <row r="452" spans="1:11">
      <c r="A452">
        <v>604</v>
      </c>
      <c r="B452">
        <v>31</v>
      </c>
      <c r="C452" t="s">
        <v>15</v>
      </c>
      <c r="D452" t="s">
        <v>12</v>
      </c>
      <c r="E452" t="s">
        <v>13</v>
      </c>
      <c r="F452">
        <v>6582</v>
      </c>
      <c r="G452">
        <v>4</v>
      </c>
      <c r="H452" t="s">
        <v>14</v>
      </c>
      <c r="I452">
        <v>6</v>
      </c>
      <c r="J452" t="s">
        <v>18</v>
      </c>
      <c r="K452">
        <f>IF($J452="Yes",1,0)</f>
        <v>0</v>
      </c>
    </row>
    <row r="453" spans="1:11">
      <c r="A453">
        <v>605</v>
      </c>
      <c r="B453">
        <v>42</v>
      </c>
      <c r="C453" t="s">
        <v>15</v>
      </c>
      <c r="D453" t="s">
        <v>16</v>
      </c>
      <c r="E453" t="s">
        <v>20</v>
      </c>
      <c r="F453">
        <v>7406</v>
      </c>
      <c r="G453">
        <v>1</v>
      </c>
      <c r="H453" t="s">
        <v>14</v>
      </c>
      <c r="I453">
        <v>10</v>
      </c>
      <c r="J453" t="s">
        <v>18</v>
      </c>
      <c r="K453">
        <f>IF($J453="Yes",1,0)</f>
        <v>0</v>
      </c>
    </row>
    <row r="454" spans="1:11">
      <c r="A454">
        <v>606</v>
      </c>
      <c r="B454">
        <v>45</v>
      </c>
      <c r="C454" t="s">
        <v>15</v>
      </c>
      <c r="D454" t="s">
        <v>12</v>
      </c>
      <c r="E454" t="s">
        <v>13</v>
      </c>
      <c r="F454">
        <v>4805</v>
      </c>
      <c r="G454">
        <v>2</v>
      </c>
      <c r="H454" t="s">
        <v>18</v>
      </c>
      <c r="I454">
        <v>8</v>
      </c>
      <c r="J454" t="s">
        <v>18</v>
      </c>
      <c r="K454">
        <f>IF($J454="Yes",1,0)</f>
        <v>0</v>
      </c>
    </row>
    <row r="455" spans="1:11">
      <c r="A455">
        <v>608</v>
      </c>
      <c r="B455">
        <v>26</v>
      </c>
      <c r="C455" t="s">
        <v>11</v>
      </c>
      <c r="D455" t="s">
        <v>25</v>
      </c>
      <c r="E455" t="s">
        <v>25</v>
      </c>
      <c r="F455">
        <v>2741</v>
      </c>
      <c r="G455">
        <v>3</v>
      </c>
      <c r="H455" t="s">
        <v>14</v>
      </c>
      <c r="I455">
        <v>7</v>
      </c>
      <c r="J455" t="s">
        <v>14</v>
      </c>
      <c r="K455">
        <f>IF($J455="Yes",1,0)</f>
        <v>1</v>
      </c>
    </row>
    <row r="456" spans="1:11">
      <c r="A456">
        <v>611</v>
      </c>
      <c r="B456">
        <v>29</v>
      </c>
      <c r="C456" t="s">
        <v>15</v>
      </c>
      <c r="D456" t="s">
        <v>16</v>
      </c>
      <c r="E456" t="s">
        <v>20</v>
      </c>
      <c r="F456">
        <v>4262</v>
      </c>
      <c r="G456">
        <v>4</v>
      </c>
      <c r="H456" t="s">
        <v>18</v>
      </c>
      <c r="I456">
        <v>3</v>
      </c>
      <c r="J456" t="s">
        <v>18</v>
      </c>
      <c r="K456">
        <f>IF($J456="Yes",1,0)</f>
        <v>0</v>
      </c>
    </row>
    <row r="457" spans="1:11">
      <c r="A457">
        <v>612</v>
      </c>
      <c r="B457">
        <v>33</v>
      </c>
      <c r="C457" t="s">
        <v>11</v>
      </c>
      <c r="D457" t="s">
        <v>16</v>
      </c>
      <c r="E457" t="s">
        <v>24</v>
      </c>
      <c r="F457">
        <v>16184</v>
      </c>
      <c r="G457">
        <v>3</v>
      </c>
      <c r="H457" t="s">
        <v>18</v>
      </c>
      <c r="I457">
        <v>6</v>
      </c>
      <c r="J457" t="s">
        <v>18</v>
      </c>
      <c r="K457">
        <f>IF($J457="Yes",1,0)</f>
        <v>0</v>
      </c>
    </row>
    <row r="458" spans="1:11">
      <c r="A458">
        <v>613</v>
      </c>
      <c r="B458">
        <v>31</v>
      </c>
      <c r="C458" t="s">
        <v>15</v>
      </c>
      <c r="D458" t="s">
        <v>12</v>
      </c>
      <c r="E458" t="s">
        <v>22</v>
      </c>
      <c r="F458">
        <v>11557</v>
      </c>
      <c r="G458">
        <v>4</v>
      </c>
      <c r="H458" t="s">
        <v>18</v>
      </c>
      <c r="I458">
        <v>5</v>
      </c>
      <c r="J458" t="s">
        <v>18</v>
      </c>
      <c r="K458">
        <f>IF($J458="Yes",1,0)</f>
        <v>0</v>
      </c>
    </row>
    <row r="459" spans="1:11">
      <c r="A459">
        <v>614</v>
      </c>
      <c r="B459">
        <v>18</v>
      </c>
      <c r="C459" t="s">
        <v>15</v>
      </c>
      <c r="D459" t="s">
        <v>12</v>
      </c>
      <c r="E459" t="s">
        <v>23</v>
      </c>
      <c r="F459">
        <v>1878</v>
      </c>
      <c r="G459">
        <v>2</v>
      </c>
      <c r="H459" t="s">
        <v>14</v>
      </c>
      <c r="I459">
        <v>0</v>
      </c>
      <c r="J459" t="s">
        <v>14</v>
      </c>
      <c r="K459">
        <f>IF($J459="Yes",1,0)</f>
        <v>1</v>
      </c>
    </row>
    <row r="460" spans="1:11">
      <c r="A460">
        <v>615</v>
      </c>
      <c r="B460">
        <v>40</v>
      </c>
      <c r="C460" t="s">
        <v>15</v>
      </c>
      <c r="D460" t="s">
        <v>12</v>
      </c>
      <c r="E460" t="s">
        <v>13</v>
      </c>
      <c r="F460">
        <v>10932</v>
      </c>
      <c r="G460">
        <v>1</v>
      </c>
      <c r="H460" t="s">
        <v>18</v>
      </c>
      <c r="I460">
        <v>1</v>
      </c>
      <c r="J460" t="s">
        <v>18</v>
      </c>
      <c r="K460">
        <f>IF($J460="Yes",1,0)</f>
        <v>0</v>
      </c>
    </row>
    <row r="461" spans="1:11">
      <c r="A461">
        <v>616</v>
      </c>
      <c r="B461">
        <v>41</v>
      </c>
      <c r="C461" t="s">
        <v>11</v>
      </c>
      <c r="D461" t="s">
        <v>16</v>
      </c>
      <c r="E461" t="s">
        <v>21</v>
      </c>
      <c r="F461">
        <v>6811</v>
      </c>
      <c r="G461">
        <v>3</v>
      </c>
      <c r="H461" t="s">
        <v>14</v>
      </c>
      <c r="I461">
        <v>8</v>
      </c>
      <c r="J461" t="s">
        <v>18</v>
      </c>
      <c r="K461">
        <f>IF($J461="Yes",1,0)</f>
        <v>0</v>
      </c>
    </row>
    <row r="462" spans="1:11">
      <c r="A462">
        <v>618</v>
      </c>
      <c r="B462">
        <v>26</v>
      </c>
      <c r="C462" t="s">
        <v>15</v>
      </c>
      <c r="D462" t="s">
        <v>12</v>
      </c>
      <c r="E462" t="s">
        <v>13</v>
      </c>
      <c r="F462">
        <v>4306</v>
      </c>
      <c r="G462">
        <v>3</v>
      </c>
      <c r="H462" t="s">
        <v>18</v>
      </c>
      <c r="I462">
        <v>0</v>
      </c>
      <c r="J462" t="s">
        <v>18</v>
      </c>
      <c r="K462">
        <f>IF($J462="Yes",1,0)</f>
        <v>0</v>
      </c>
    </row>
    <row r="463" spans="1:11">
      <c r="A463">
        <v>620</v>
      </c>
      <c r="B463">
        <v>35</v>
      </c>
      <c r="C463" t="s">
        <v>11</v>
      </c>
      <c r="D463" t="s">
        <v>12</v>
      </c>
      <c r="E463" t="s">
        <v>13</v>
      </c>
      <c r="F463">
        <v>4859</v>
      </c>
      <c r="G463">
        <v>3</v>
      </c>
      <c r="H463" t="s">
        <v>18</v>
      </c>
      <c r="I463">
        <v>5</v>
      </c>
      <c r="J463" t="s">
        <v>18</v>
      </c>
      <c r="K463">
        <f>IF($J463="Yes",1,0)</f>
        <v>0</v>
      </c>
    </row>
    <row r="464" spans="1:11">
      <c r="A464">
        <v>621</v>
      </c>
      <c r="B464">
        <v>34</v>
      </c>
      <c r="C464" t="s">
        <v>15</v>
      </c>
      <c r="D464" t="s">
        <v>12</v>
      </c>
      <c r="E464" t="s">
        <v>13</v>
      </c>
      <c r="F464">
        <v>5337</v>
      </c>
      <c r="G464">
        <v>4</v>
      </c>
      <c r="H464" t="s">
        <v>18</v>
      </c>
      <c r="I464">
        <v>10</v>
      </c>
      <c r="J464" t="s">
        <v>18</v>
      </c>
      <c r="K464">
        <f>IF($J464="Yes",1,0)</f>
        <v>0</v>
      </c>
    </row>
    <row r="465" spans="1:11">
      <c r="A465">
        <v>622</v>
      </c>
      <c r="B465">
        <v>26</v>
      </c>
      <c r="C465" t="s">
        <v>15</v>
      </c>
      <c r="D465" t="s">
        <v>16</v>
      </c>
      <c r="E465" t="s">
        <v>19</v>
      </c>
      <c r="F465">
        <v>2340</v>
      </c>
      <c r="G465">
        <v>4</v>
      </c>
      <c r="H465" t="s">
        <v>14</v>
      </c>
      <c r="I465">
        <v>1</v>
      </c>
      <c r="J465" t="s">
        <v>14</v>
      </c>
      <c r="K465">
        <f>IF($J465="Yes",1,0)</f>
        <v>1</v>
      </c>
    </row>
    <row r="466" spans="1:11">
      <c r="A466">
        <v>623</v>
      </c>
      <c r="B466">
        <v>37</v>
      </c>
      <c r="C466" t="s">
        <v>11</v>
      </c>
      <c r="D466" t="s">
        <v>16</v>
      </c>
      <c r="E466" t="s">
        <v>20</v>
      </c>
      <c r="F466">
        <v>7491</v>
      </c>
      <c r="G466">
        <v>4</v>
      </c>
      <c r="H466" t="s">
        <v>18</v>
      </c>
      <c r="I466">
        <v>6</v>
      </c>
      <c r="J466" t="s">
        <v>18</v>
      </c>
      <c r="K466">
        <f>IF($J466="Yes",1,0)</f>
        <v>0</v>
      </c>
    </row>
    <row r="467" spans="1:11">
      <c r="A467">
        <v>624</v>
      </c>
      <c r="B467">
        <v>46</v>
      </c>
      <c r="C467" t="s">
        <v>11</v>
      </c>
      <c r="D467" t="s">
        <v>16</v>
      </c>
      <c r="E467" t="s">
        <v>21</v>
      </c>
      <c r="F467">
        <v>10527</v>
      </c>
      <c r="G467">
        <v>3</v>
      </c>
      <c r="H467" t="s">
        <v>18</v>
      </c>
      <c r="I467">
        <v>2</v>
      </c>
      <c r="J467" t="s">
        <v>18</v>
      </c>
      <c r="K467">
        <f>IF($J467="Yes",1,0)</f>
        <v>0</v>
      </c>
    </row>
    <row r="468" spans="1:11">
      <c r="A468">
        <v>625</v>
      </c>
      <c r="B468">
        <v>41</v>
      </c>
      <c r="C468" t="s">
        <v>11</v>
      </c>
      <c r="D468" t="s">
        <v>12</v>
      </c>
      <c r="E468" t="s">
        <v>22</v>
      </c>
      <c r="F468">
        <v>16595</v>
      </c>
      <c r="G468">
        <v>1</v>
      </c>
      <c r="H468" t="s">
        <v>18</v>
      </c>
      <c r="I468">
        <v>18</v>
      </c>
      <c r="J468" t="s">
        <v>18</v>
      </c>
      <c r="K468">
        <f>IF($J468="Yes",1,0)</f>
        <v>0</v>
      </c>
    </row>
    <row r="469" spans="1:11">
      <c r="A469">
        <v>626</v>
      </c>
      <c r="B469">
        <v>37</v>
      </c>
      <c r="C469" t="s">
        <v>15</v>
      </c>
      <c r="D469" t="s">
        <v>12</v>
      </c>
      <c r="E469" t="s">
        <v>13</v>
      </c>
      <c r="F469">
        <v>8834</v>
      </c>
      <c r="G469">
        <v>2</v>
      </c>
      <c r="H469" t="s">
        <v>18</v>
      </c>
      <c r="I469">
        <v>9</v>
      </c>
      <c r="J469" t="s">
        <v>18</v>
      </c>
      <c r="K469">
        <f>IF($J469="Yes",1,0)</f>
        <v>0</v>
      </c>
    </row>
    <row r="470" spans="1:11">
      <c r="A470">
        <v>630</v>
      </c>
      <c r="B470">
        <v>52</v>
      </c>
      <c r="C470" t="s">
        <v>15</v>
      </c>
      <c r="D470" t="s">
        <v>16</v>
      </c>
      <c r="E470" t="s">
        <v>17</v>
      </c>
      <c r="F470">
        <v>5577</v>
      </c>
      <c r="G470">
        <v>1</v>
      </c>
      <c r="H470" t="s">
        <v>14</v>
      </c>
      <c r="I470">
        <v>10</v>
      </c>
      <c r="J470" t="s">
        <v>18</v>
      </c>
      <c r="K470">
        <f>IF($J470="Yes",1,0)</f>
        <v>0</v>
      </c>
    </row>
    <row r="471" spans="1:11">
      <c r="A471">
        <v>631</v>
      </c>
      <c r="B471">
        <v>32</v>
      </c>
      <c r="C471" t="s">
        <v>15</v>
      </c>
      <c r="D471" t="s">
        <v>12</v>
      </c>
      <c r="E471" t="s">
        <v>13</v>
      </c>
      <c r="F471">
        <v>4707</v>
      </c>
      <c r="G471">
        <v>3</v>
      </c>
      <c r="H471" t="s">
        <v>18</v>
      </c>
      <c r="I471">
        <v>4</v>
      </c>
      <c r="J471" t="s">
        <v>14</v>
      </c>
      <c r="K471">
        <f>IF($J471="Yes",1,0)</f>
        <v>1</v>
      </c>
    </row>
    <row r="472" spans="1:11">
      <c r="A472">
        <v>632</v>
      </c>
      <c r="B472">
        <v>24</v>
      </c>
      <c r="C472" t="s">
        <v>15</v>
      </c>
      <c r="D472" t="s">
        <v>12</v>
      </c>
      <c r="E472" t="s">
        <v>23</v>
      </c>
      <c r="F472">
        <v>2400</v>
      </c>
      <c r="G472">
        <v>4</v>
      </c>
      <c r="H472" t="s">
        <v>18</v>
      </c>
      <c r="I472">
        <v>2</v>
      </c>
      <c r="J472" t="s">
        <v>18</v>
      </c>
      <c r="K472">
        <f>IF($J472="Yes",1,0)</f>
        <v>0</v>
      </c>
    </row>
    <row r="473" spans="1:11">
      <c r="A473">
        <v>634</v>
      </c>
      <c r="B473">
        <v>38</v>
      </c>
      <c r="C473" t="s">
        <v>11</v>
      </c>
      <c r="D473" t="s">
        <v>16</v>
      </c>
      <c r="E473" t="s">
        <v>21</v>
      </c>
      <c r="F473">
        <v>9824</v>
      </c>
      <c r="G473">
        <v>3</v>
      </c>
      <c r="H473" t="s">
        <v>18</v>
      </c>
      <c r="I473">
        <v>1</v>
      </c>
      <c r="J473" t="s">
        <v>18</v>
      </c>
      <c r="K473">
        <f>IF($J473="Yes",1,0)</f>
        <v>0</v>
      </c>
    </row>
    <row r="474" spans="1:11">
      <c r="A474">
        <v>635</v>
      </c>
      <c r="B474">
        <v>37</v>
      </c>
      <c r="C474" t="s">
        <v>11</v>
      </c>
      <c r="D474" t="s">
        <v>16</v>
      </c>
      <c r="E474" t="s">
        <v>20</v>
      </c>
      <c r="F474">
        <v>6447</v>
      </c>
      <c r="G474">
        <v>2</v>
      </c>
      <c r="H474" t="s">
        <v>18</v>
      </c>
      <c r="I474">
        <v>6</v>
      </c>
      <c r="J474" t="s">
        <v>18</v>
      </c>
      <c r="K474">
        <f>IF($J474="Yes",1,0)</f>
        <v>0</v>
      </c>
    </row>
    <row r="475" spans="1:11">
      <c r="A475">
        <v>638</v>
      </c>
      <c r="B475">
        <v>49</v>
      </c>
      <c r="C475" t="s">
        <v>15</v>
      </c>
      <c r="D475" t="s">
        <v>16</v>
      </c>
      <c r="E475" t="s">
        <v>24</v>
      </c>
      <c r="F475">
        <v>19502</v>
      </c>
      <c r="G475">
        <v>3</v>
      </c>
      <c r="H475" t="s">
        <v>14</v>
      </c>
      <c r="I475">
        <v>31</v>
      </c>
      <c r="J475" t="s">
        <v>18</v>
      </c>
      <c r="K475">
        <f>IF($J475="Yes",1,0)</f>
        <v>0</v>
      </c>
    </row>
    <row r="476" spans="1:11">
      <c r="A476">
        <v>639</v>
      </c>
      <c r="B476">
        <v>24</v>
      </c>
      <c r="C476" t="s">
        <v>15</v>
      </c>
      <c r="D476" t="s">
        <v>16</v>
      </c>
      <c r="E476" t="s">
        <v>17</v>
      </c>
      <c r="F476">
        <v>2725</v>
      </c>
      <c r="G476">
        <v>4</v>
      </c>
      <c r="H476" t="s">
        <v>14</v>
      </c>
      <c r="I476">
        <v>6</v>
      </c>
      <c r="J476" t="s">
        <v>18</v>
      </c>
      <c r="K476">
        <f>IF($J476="Yes",1,0)</f>
        <v>0</v>
      </c>
    </row>
    <row r="477" spans="1:11">
      <c r="A477">
        <v>641</v>
      </c>
      <c r="B477">
        <v>26</v>
      </c>
      <c r="C477" t="s">
        <v>15</v>
      </c>
      <c r="D477" t="s">
        <v>12</v>
      </c>
      <c r="E477" t="s">
        <v>13</v>
      </c>
      <c r="F477">
        <v>6272</v>
      </c>
      <c r="G477">
        <v>2</v>
      </c>
      <c r="H477" t="s">
        <v>18</v>
      </c>
      <c r="I477">
        <v>5</v>
      </c>
      <c r="J477" t="s">
        <v>18</v>
      </c>
      <c r="K477">
        <f>IF($J477="Yes",1,0)</f>
        <v>0</v>
      </c>
    </row>
    <row r="478" spans="1:11">
      <c r="A478">
        <v>643</v>
      </c>
      <c r="B478">
        <v>24</v>
      </c>
      <c r="C478" t="s">
        <v>15</v>
      </c>
      <c r="D478" t="s">
        <v>16</v>
      </c>
      <c r="E478" t="s">
        <v>19</v>
      </c>
      <c r="F478">
        <v>2127</v>
      </c>
      <c r="G478">
        <v>2</v>
      </c>
      <c r="H478" t="s">
        <v>18</v>
      </c>
      <c r="I478">
        <v>1</v>
      </c>
      <c r="J478" t="s">
        <v>18</v>
      </c>
      <c r="K478">
        <f>IF($J478="Yes",1,0)</f>
        <v>0</v>
      </c>
    </row>
    <row r="479" spans="1:11">
      <c r="A479">
        <v>644</v>
      </c>
      <c r="B479">
        <v>50</v>
      </c>
      <c r="C479" t="s">
        <v>15</v>
      </c>
      <c r="D479" t="s">
        <v>25</v>
      </c>
      <c r="E479" t="s">
        <v>22</v>
      </c>
      <c r="F479">
        <v>18200</v>
      </c>
      <c r="G479">
        <v>2</v>
      </c>
      <c r="H479" t="s">
        <v>18</v>
      </c>
      <c r="I479">
        <v>32</v>
      </c>
      <c r="J479" t="s">
        <v>18</v>
      </c>
      <c r="K479">
        <f>IF($J479="Yes",1,0)</f>
        <v>0</v>
      </c>
    </row>
    <row r="480" spans="1:11">
      <c r="A480">
        <v>645</v>
      </c>
      <c r="B480">
        <v>25</v>
      </c>
      <c r="C480" t="s">
        <v>15</v>
      </c>
      <c r="D480" t="s">
        <v>12</v>
      </c>
      <c r="E480" t="s">
        <v>23</v>
      </c>
      <c r="F480">
        <v>2096</v>
      </c>
      <c r="G480">
        <v>3</v>
      </c>
      <c r="H480" t="s">
        <v>18</v>
      </c>
      <c r="I480">
        <v>7</v>
      </c>
      <c r="J480" t="s">
        <v>18</v>
      </c>
      <c r="K480">
        <f>IF($J480="Yes",1,0)</f>
        <v>0</v>
      </c>
    </row>
    <row r="481" spans="1:11">
      <c r="A481">
        <v>647</v>
      </c>
      <c r="B481">
        <v>24</v>
      </c>
      <c r="C481" t="s">
        <v>11</v>
      </c>
      <c r="D481" t="s">
        <v>16</v>
      </c>
      <c r="E481" t="s">
        <v>19</v>
      </c>
      <c r="F481">
        <v>2886</v>
      </c>
      <c r="G481">
        <v>3</v>
      </c>
      <c r="H481" t="s">
        <v>14</v>
      </c>
      <c r="I481">
        <v>6</v>
      </c>
      <c r="J481" t="s">
        <v>14</v>
      </c>
      <c r="K481">
        <f>IF($J481="Yes",1,0)</f>
        <v>1</v>
      </c>
    </row>
    <row r="482" spans="1:11">
      <c r="A482">
        <v>648</v>
      </c>
      <c r="B482">
        <v>30</v>
      </c>
      <c r="C482" t="s">
        <v>15</v>
      </c>
      <c r="D482" t="s">
        <v>12</v>
      </c>
      <c r="E482" t="s">
        <v>23</v>
      </c>
      <c r="F482">
        <v>2033</v>
      </c>
      <c r="G482">
        <v>1</v>
      </c>
      <c r="H482" t="s">
        <v>18</v>
      </c>
      <c r="I482">
        <v>1</v>
      </c>
      <c r="J482" t="s">
        <v>14</v>
      </c>
      <c r="K482">
        <f>IF($J482="Yes",1,0)</f>
        <v>1</v>
      </c>
    </row>
    <row r="483" spans="1:11">
      <c r="A483">
        <v>649</v>
      </c>
      <c r="B483">
        <v>34</v>
      </c>
      <c r="C483" t="s">
        <v>15</v>
      </c>
      <c r="D483" t="s">
        <v>16</v>
      </c>
      <c r="E483" t="s">
        <v>17</v>
      </c>
      <c r="F483">
        <v>3622</v>
      </c>
      <c r="G483">
        <v>4</v>
      </c>
      <c r="H483" t="s">
        <v>14</v>
      </c>
      <c r="I483">
        <v>6</v>
      </c>
      <c r="J483" t="s">
        <v>18</v>
      </c>
      <c r="K483">
        <f>IF($J483="Yes",1,0)</f>
        <v>0</v>
      </c>
    </row>
    <row r="484" spans="1:11">
      <c r="A484">
        <v>650</v>
      </c>
      <c r="B484">
        <v>31</v>
      </c>
      <c r="C484" t="s">
        <v>15</v>
      </c>
      <c r="D484" t="s">
        <v>12</v>
      </c>
      <c r="E484" t="s">
        <v>13</v>
      </c>
      <c r="F484">
        <v>4233</v>
      </c>
      <c r="G484">
        <v>1</v>
      </c>
      <c r="H484" t="s">
        <v>18</v>
      </c>
      <c r="I484">
        <v>3</v>
      </c>
      <c r="J484" t="s">
        <v>14</v>
      </c>
      <c r="K484">
        <f>IF($J484="Yes",1,0)</f>
        <v>1</v>
      </c>
    </row>
    <row r="485" spans="1:11">
      <c r="A485">
        <v>652</v>
      </c>
      <c r="B485">
        <v>35</v>
      </c>
      <c r="C485" t="s">
        <v>15</v>
      </c>
      <c r="D485" t="s">
        <v>16</v>
      </c>
      <c r="E485" t="s">
        <v>19</v>
      </c>
      <c r="F485">
        <v>3681</v>
      </c>
      <c r="G485">
        <v>4</v>
      </c>
      <c r="H485" t="s">
        <v>18</v>
      </c>
      <c r="I485">
        <v>3</v>
      </c>
      <c r="J485" t="s">
        <v>18</v>
      </c>
      <c r="K485">
        <f>IF($J485="Yes",1,0)</f>
        <v>0</v>
      </c>
    </row>
    <row r="486" spans="1:11">
      <c r="A486">
        <v>653</v>
      </c>
      <c r="B486">
        <v>31</v>
      </c>
      <c r="C486" t="s">
        <v>15</v>
      </c>
      <c r="D486" t="s">
        <v>12</v>
      </c>
      <c r="E486" t="s">
        <v>13</v>
      </c>
      <c r="F486">
        <v>5460</v>
      </c>
      <c r="G486">
        <v>4</v>
      </c>
      <c r="H486" t="s">
        <v>18</v>
      </c>
      <c r="I486">
        <v>7</v>
      </c>
      <c r="J486" t="s">
        <v>18</v>
      </c>
      <c r="K486">
        <f>IF($J486="Yes",1,0)</f>
        <v>0</v>
      </c>
    </row>
    <row r="487" spans="1:11">
      <c r="A487">
        <v>655</v>
      </c>
      <c r="B487">
        <v>27</v>
      </c>
      <c r="C487" t="s">
        <v>11</v>
      </c>
      <c r="D487" t="s">
        <v>16</v>
      </c>
      <c r="E487" t="s">
        <v>17</v>
      </c>
      <c r="F487">
        <v>2187</v>
      </c>
      <c r="G487">
        <v>3</v>
      </c>
      <c r="H487" t="s">
        <v>18</v>
      </c>
      <c r="I487">
        <v>5</v>
      </c>
      <c r="J487" t="s">
        <v>18</v>
      </c>
      <c r="K487">
        <f>IF($J487="Yes",1,0)</f>
        <v>0</v>
      </c>
    </row>
    <row r="488" spans="1:11">
      <c r="A488">
        <v>656</v>
      </c>
      <c r="B488">
        <v>37</v>
      </c>
      <c r="C488" t="s">
        <v>15</v>
      </c>
      <c r="D488" t="s">
        <v>12</v>
      </c>
      <c r="E488" t="s">
        <v>13</v>
      </c>
      <c r="F488">
        <v>9602</v>
      </c>
      <c r="G488">
        <v>3</v>
      </c>
      <c r="H488" t="s">
        <v>14</v>
      </c>
      <c r="I488">
        <v>3</v>
      </c>
      <c r="J488" t="s">
        <v>18</v>
      </c>
      <c r="K488">
        <f>IF($J488="Yes",1,0)</f>
        <v>0</v>
      </c>
    </row>
    <row r="489" spans="1:11">
      <c r="A489">
        <v>657</v>
      </c>
      <c r="B489">
        <v>20</v>
      </c>
      <c r="C489" t="s">
        <v>11</v>
      </c>
      <c r="D489" t="s">
        <v>16</v>
      </c>
      <c r="E489" t="s">
        <v>17</v>
      </c>
      <c r="F489">
        <v>2836</v>
      </c>
      <c r="G489">
        <v>2</v>
      </c>
      <c r="H489" t="s">
        <v>18</v>
      </c>
      <c r="I489">
        <v>1</v>
      </c>
      <c r="J489" t="s">
        <v>18</v>
      </c>
      <c r="K489">
        <f>IF($J489="Yes",1,0)</f>
        <v>0</v>
      </c>
    </row>
    <row r="490" spans="1:11">
      <c r="A490">
        <v>659</v>
      </c>
      <c r="B490">
        <v>42</v>
      </c>
      <c r="C490" t="s">
        <v>11</v>
      </c>
      <c r="D490" t="s">
        <v>16</v>
      </c>
      <c r="E490" t="s">
        <v>21</v>
      </c>
      <c r="F490">
        <v>4089</v>
      </c>
      <c r="G490">
        <v>4</v>
      </c>
      <c r="H490" t="s">
        <v>18</v>
      </c>
      <c r="I490">
        <v>10</v>
      </c>
      <c r="J490" t="s">
        <v>18</v>
      </c>
      <c r="K490">
        <f>IF($J490="Yes",1,0)</f>
        <v>0</v>
      </c>
    </row>
    <row r="491" spans="1:11">
      <c r="A491">
        <v>661</v>
      </c>
      <c r="B491">
        <v>43</v>
      </c>
      <c r="C491" t="s">
        <v>15</v>
      </c>
      <c r="D491" t="s">
        <v>16</v>
      </c>
      <c r="E491" t="s">
        <v>24</v>
      </c>
      <c r="F491">
        <v>16627</v>
      </c>
      <c r="G491">
        <v>4</v>
      </c>
      <c r="H491" t="s">
        <v>14</v>
      </c>
      <c r="I491">
        <v>1</v>
      </c>
      <c r="J491" t="s">
        <v>18</v>
      </c>
      <c r="K491">
        <f>IF($J491="Yes",1,0)</f>
        <v>0</v>
      </c>
    </row>
    <row r="492" spans="1:11">
      <c r="A492">
        <v>662</v>
      </c>
      <c r="B492">
        <v>38</v>
      </c>
      <c r="C492" t="s">
        <v>11</v>
      </c>
      <c r="D492" t="s">
        <v>16</v>
      </c>
      <c r="E492" t="s">
        <v>17</v>
      </c>
      <c r="F492">
        <v>2619</v>
      </c>
      <c r="G492">
        <v>1</v>
      </c>
      <c r="H492" t="s">
        <v>18</v>
      </c>
      <c r="I492">
        <v>0</v>
      </c>
      <c r="J492" t="s">
        <v>18</v>
      </c>
      <c r="K492">
        <f>IF($J492="Yes",1,0)</f>
        <v>0</v>
      </c>
    </row>
    <row r="493" spans="1:11">
      <c r="A493">
        <v>663</v>
      </c>
      <c r="B493">
        <v>43</v>
      </c>
      <c r="C493" t="s">
        <v>15</v>
      </c>
      <c r="D493" t="s">
        <v>16</v>
      </c>
      <c r="E493" t="s">
        <v>19</v>
      </c>
      <c r="F493">
        <v>5679</v>
      </c>
      <c r="G493">
        <v>3</v>
      </c>
      <c r="H493" t="s">
        <v>14</v>
      </c>
      <c r="I493">
        <v>8</v>
      </c>
      <c r="J493" t="s">
        <v>18</v>
      </c>
      <c r="K493">
        <f>IF($J493="Yes",1,0)</f>
        <v>0</v>
      </c>
    </row>
    <row r="494" spans="1:11">
      <c r="A494">
        <v>664</v>
      </c>
      <c r="B494">
        <v>48</v>
      </c>
      <c r="C494" t="s">
        <v>11</v>
      </c>
      <c r="D494" t="s">
        <v>16</v>
      </c>
      <c r="E494" t="s">
        <v>22</v>
      </c>
      <c r="F494">
        <v>15402</v>
      </c>
      <c r="G494">
        <v>1</v>
      </c>
      <c r="H494" t="s">
        <v>18</v>
      </c>
      <c r="I494">
        <v>3</v>
      </c>
      <c r="J494" t="s">
        <v>18</v>
      </c>
      <c r="K494">
        <f>IF($J494="Yes",1,0)</f>
        <v>0</v>
      </c>
    </row>
    <row r="495" spans="1:11">
      <c r="A495">
        <v>665</v>
      </c>
      <c r="B495">
        <v>44</v>
      </c>
      <c r="C495" t="s">
        <v>11</v>
      </c>
      <c r="D495" t="s">
        <v>25</v>
      </c>
      <c r="E495" t="s">
        <v>25</v>
      </c>
      <c r="F495">
        <v>5985</v>
      </c>
      <c r="G495">
        <v>3</v>
      </c>
      <c r="H495" t="s">
        <v>18</v>
      </c>
      <c r="I495">
        <v>2</v>
      </c>
      <c r="J495" t="s">
        <v>18</v>
      </c>
      <c r="K495">
        <f>IF($J495="Yes",1,0)</f>
        <v>0</v>
      </c>
    </row>
    <row r="496" spans="1:11">
      <c r="A496">
        <v>666</v>
      </c>
      <c r="B496">
        <v>34</v>
      </c>
      <c r="C496" t="s">
        <v>11</v>
      </c>
      <c r="D496" t="s">
        <v>12</v>
      </c>
      <c r="E496" t="s">
        <v>23</v>
      </c>
      <c r="F496">
        <v>2579</v>
      </c>
      <c r="G496">
        <v>3</v>
      </c>
      <c r="H496" t="s">
        <v>14</v>
      </c>
      <c r="I496">
        <v>8</v>
      </c>
      <c r="J496" t="s">
        <v>18</v>
      </c>
      <c r="K496">
        <f>IF($J496="Yes",1,0)</f>
        <v>0</v>
      </c>
    </row>
    <row r="497" spans="1:11">
      <c r="A497">
        <v>667</v>
      </c>
      <c r="B497">
        <v>27</v>
      </c>
      <c r="C497" t="s">
        <v>15</v>
      </c>
      <c r="D497" t="s">
        <v>12</v>
      </c>
      <c r="E497" t="s">
        <v>23</v>
      </c>
      <c r="F497">
        <v>3041</v>
      </c>
      <c r="G497">
        <v>1</v>
      </c>
      <c r="H497" t="s">
        <v>18</v>
      </c>
      <c r="I497">
        <v>4</v>
      </c>
      <c r="J497" t="s">
        <v>14</v>
      </c>
      <c r="K497">
        <f>IF($J497="Yes",1,0)</f>
        <v>1</v>
      </c>
    </row>
    <row r="498" spans="1:11">
      <c r="A498">
        <v>669</v>
      </c>
      <c r="B498">
        <v>21</v>
      </c>
      <c r="C498" t="s">
        <v>15</v>
      </c>
      <c r="D498" t="s">
        <v>12</v>
      </c>
      <c r="E498" t="s">
        <v>23</v>
      </c>
      <c r="F498">
        <v>3447</v>
      </c>
      <c r="G498">
        <v>3</v>
      </c>
      <c r="H498" t="s">
        <v>18</v>
      </c>
      <c r="I498">
        <v>3</v>
      </c>
      <c r="J498" t="s">
        <v>18</v>
      </c>
      <c r="K498">
        <f>IF($J498="Yes",1,0)</f>
        <v>0</v>
      </c>
    </row>
    <row r="499" spans="1:11">
      <c r="A499">
        <v>671</v>
      </c>
      <c r="B499">
        <v>44</v>
      </c>
      <c r="C499" t="s">
        <v>15</v>
      </c>
      <c r="D499" t="s">
        <v>16</v>
      </c>
      <c r="E499" t="s">
        <v>22</v>
      </c>
      <c r="F499">
        <v>19513</v>
      </c>
      <c r="G499">
        <v>4</v>
      </c>
      <c r="H499" t="s">
        <v>14</v>
      </c>
      <c r="I499">
        <v>2</v>
      </c>
      <c r="J499" t="s">
        <v>18</v>
      </c>
      <c r="K499">
        <f>IF($J499="Yes",1,0)</f>
        <v>0</v>
      </c>
    </row>
    <row r="500" spans="1:11">
      <c r="A500">
        <v>675</v>
      </c>
      <c r="B500">
        <v>22</v>
      </c>
      <c r="C500" t="s">
        <v>15</v>
      </c>
      <c r="D500" t="s">
        <v>16</v>
      </c>
      <c r="E500" t="s">
        <v>17</v>
      </c>
      <c r="F500">
        <v>2773</v>
      </c>
      <c r="G500">
        <v>3</v>
      </c>
      <c r="H500" t="s">
        <v>14</v>
      </c>
      <c r="I500">
        <v>2</v>
      </c>
      <c r="J500" t="s">
        <v>18</v>
      </c>
      <c r="K500">
        <f>IF($J500="Yes",1,0)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724F-E867-44B7-A4C1-5D5E105A4C98}">
  <dimension ref="A1:K500"/>
  <sheetViews>
    <sheetView workbookViewId="0">
      <selection activeCell="A2" sqref="A2"/>
    </sheetView>
  </sheetViews>
  <sheetFormatPr defaultRowHeight="15"/>
  <cols>
    <col min="1" max="1" width="19.85546875" bestFit="1" customWidth="1"/>
    <col min="2" max="2" width="9.5703125" customWidth="1"/>
    <col min="3" max="3" width="10" bestFit="1" customWidth="1"/>
    <col min="4" max="4" width="23.7109375" bestFit="1" customWidth="1"/>
    <col min="5" max="5" width="24.7109375" bestFit="1" customWidth="1"/>
    <col min="6" max="6" width="17.7109375" bestFit="1" customWidth="1"/>
    <col min="7" max="7" width="17" bestFit="1" customWidth="1"/>
    <col min="8" max="8" width="12.140625" bestFit="1" customWidth="1"/>
    <col min="9" max="9" width="18.85546875" bestFit="1" customWidth="1"/>
    <col min="10" max="10" width="11.140625" bestFit="1" customWidth="1"/>
    <col min="11" max="11" width="14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41</v>
      </c>
      <c r="C2" t="s">
        <v>11</v>
      </c>
      <c r="D2" t="s">
        <v>12</v>
      </c>
      <c r="E2" t="s">
        <v>13</v>
      </c>
      <c r="F2">
        <v>5993</v>
      </c>
      <c r="G2">
        <v>4</v>
      </c>
      <c r="H2" t="s">
        <v>14</v>
      </c>
      <c r="I2">
        <v>6</v>
      </c>
      <c r="J2" t="s">
        <v>14</v>
      </c>
      <c r="K2">
        <f>IF($J2="Yes",1,0)</f>
        <v>1</v>
      </c>
    </row>
    <row r="3" spans="1:11">
      <c r="A3">
        <v>2</v>
      </c>
      <c r="B3">
        <v>49</v>
      </c>
      <c r="C3" t="s">
        <v>15</v>
      </c>
      <c r="D3" t="s">
        <v>16</v>
      </c>
      <c r="E3" t="s">
        <v>17</v>
      </c>
      <c r="F3">
        <v>5130</v>
      </c>
      <c r="G3">
        <v>2</v>
      </c>
      <c r="H3" t="s">
        <v>18</v>
      </c>
      <c r="I3">
        <v>10</v>
      </c>
      <c r="J3" t="s">
        <v>18</v>
      </c>
      <c r="K3">
        <f>IF($J3="Yes",1,0)</f>
        <v>0</v>
      </c>
    </row>
    <row r="4" spans="1:11">
      <c r="A4">
        <v>4</v>
      </c>
      <c r="B4">
        <v>37</v>
      </c>
      <c r="C4" t="s">
        <v>15</v>
      </c>
      <c r="D4" t="s">
        <v>16</v>
      </c>
      <c r="E4" t="s">
        <v>19</v>
      </c>
      <c r="F4">
        <v>2090</v>
      </c>
      <c r="G4">
        <v>3</v>
      </c>
      <c r="H4" t="s">
        <v>14</v>
      </c>
      <c r="I4">
        <v>0</v>
      </c>
      <c r="J4" t="s">
        <v>14</v>
      </c>
      <c r="K4">
        <f>IF($J4="Yes",1,0)</f>
        <v>1</v>
      </c>
    </row>
    <row r="5" spans="1:11">
      <c r="A5">
        <v>5</v>
      </c>
      <c r="B5">
        <v>33</v>
      </c>
      <c r="C5" t="s">
        <v>11</v>
      </c>
      <c r="D5" t="s">
        <v>16</v>
      </c>
      <c r="E5" t="s">
        <v>17</v>
      </c>
      <c r="F5">
        <v>2909</v>
      </c>
      <c r="G5">
        <v>3</v>
      </c>
      <c r="H5" t="s">
        <v>14</v>
      </c>
      <c r="I5">
        <v>8</v>
      </c>
      <c r="J5" t="s">
        <v>18</v>
      </c>
      <c r="K5">
        <f>IF($J5="Yes",1,0)</f>
        <v>0</v>
      </c>
    </row>
    <row r="6" spans="1:11">
      <c r="A6">
        <v>7</v>
      </c>
      <c r="B6">
        <v>27</v>
      </c>
      <c r="C6" t="s">
        <v>15</v>
      </c>
      <c r="D6" t="s">
        <v>16</v>
      </c>
      <c r="E6" t="s">
        <v>19</v>
      </c>
      <c r="F6">
        <v>3468</v>
      </c>
      <c r="G6">
        <v>2</v>
      </c>
      <c r="H6" t="s">
        <v>18</v>
      </c>
      <c r="I6">
        <v>2</v>
      </c>
      <c r="J6" t="s">
        <v>18</v>
      </c>
      <c r="K6">
        <f>IF($J6="Yes",1,0)</f>
        <v>0</v>
      </c>
    </row>
    <row r="7" spans="1:11">
      <c r="A7">
        <v>8</v>
      </c>
      <c r="B7">
        <v>32</v>
      </c>
      <c r="C7" t="s">
        <v>15</v>
      </c>
      <c r="D7" t="s">
        <v>16</v>
      </c>
      <c r="E7" t="s">
        <v>19</v>
      </c>
      <c r="F7">
        <v>3068</v>
      </c>
      <c r="G7">
        <v>4</v>
      </c>
      <c r="H7" t="s">
        <v>18</v>
      </c>
      <c r="I7">
        <v>7</v>
      </c>
      <c r="J7" t="s">
        <v>18</v>
      </c>
      <c r="K7">
        <f>IF($J7="Yes",1,0)</f>
        <v>0</v>
      </c>
    </row>
    <row r="8" spans="1:11">
      <c r="A8">
        <v>10</v>
      </c>
      <c r="B8">
        <v>59</v>
      </c>
      <c r="C8" t="s">
        <v>11</v>
      </c>
      <c r="D8" t="s">
        <v>16</v>
      </c>
      <c r="E8" t="s">
        <v>19</v>
      </c>
      <c r="F8">
        <v>2670</v>
      </c>
      <c r="G8">
        <v>1</v>
      </c>
      <c r="H8" t="s">
        <v>14</v>
      </c>
      <c r="I8">
        <v>1</v>
      </c>
      <c r="J8" t="s">
        <v>18</v>
      </c>
      <c r="K8">
        <f>IF($J8="Yes",1,0)</f>
        <v>0</v>
      </c>
    </row>
    <row r="9" spans="1:11">
      <c r="A9">
        <v>11</v>
      </c>
      <c r="B9">
        <v>30</v>
      </c>
      <c r="C9" t="s">
        <v>15</v>
      </c>
      <c r="D9" t="s">
        <v>16</v>
      </c>
      <c r="E9" t="s">
        <v>19</v>
      </c>
      <c r="F9">
        <v>2693</v>
      </c>
      <c r="G9">
        <v>3</v>
      </c>
      <c r="H9" t="s">
        <v>18</v>
      </c>
      <c r="I9">
        <v>1</v>
      </c>
      <c r="J9" t="s">
        <v>18</v>
      </c>
      <c r="K9">
        <f>IF($J9="Yes",1,0)</f>
        <v>0</v>
      </c>
    </row>
    <row r="10" spans="1:11">
      <c r="A10">
        <v>12</v>
      </c>
      <c r="B10">
        <v>38</v>
      </c>
      <c r="C10" t="s">
        <v>15</v>
      </c>
      <c r="D10" t="s">
        <v>16</v>
      </c>
      <c r="E10" t="s">
        <v>20</v>
      </c>
      <c r="F10">
        <v>9526</v>
      </c>
      <c r="G10">
        <v>3</v>
      </c>
      <c r="H10" t="s">
        <v>18</v>
      </c>
      <c r="I10">
        <v>9</v>
      </c>
      <c r="J10" t="s">
        <v>18</v>
      </c>
      <c r="K10">
        <f>IF($J10="Yes",1,0)</f>
        <v>0</v>
      </c>
    </row>
    <row r="11" spans="1:11">
      <c r="A11">
        <v>13</v>
      </c>
      <c r="B11">
        <v>36</v>
      </c>
      <c r="C11" t="s">
        <v>15</v>
      </c>
      <c r="D11" t="s">
        <v>16</v>
      </c>
      <c r="E11" t="s">
        <v>21</v>
      </c>
      <c r="F11">
        <v>5237</v>
      </c>
      <c r="G11">
        <v>3</v>
      </c>
      <c r="H11" t="s">
        <v>18</v>
      </c>
      <c r="I11">
        <v>7</v>
      </c>
      <c r="J11" t="s">
        <v>18</v>
      </c>
      <c r="K11">
        <f>IF($J11="Yes",1,0)</f>
        <v>0</v>
      </c>
    </row>
    <row r="12" spans="1:11">
      <c r="A12">
        <v>14</v>
      </c>
      <c r="B12">
        <v>35</v>
      </c>
      <c r="C12" t="s">
        <v>15</v>
      </c>
      <c r="D12" t="s">
        <v>16</v>
      </c>
      <c r="E12" t="s">
        <v>19</v>
      </c>
      <c r="F12">
        <v>2426</v>
      </c>
      <c r="G12">
        <v>2</v>
      </c>
      <c r="H12" t="s">
        <v>18</v>
      </c>
      <c r="I12">
        <v>5</v>
      </c>
      <c r="J12" t="s">
        <v>18</v>
      </c>
      <c r="K12">
        <f>IF($J12="Yes",1,0)</f>
        <v>0</v>
      </c>
    </row>
    <row r="13" spans="1:11">
      <c r="A13">
        <v>15</v>
      </c>
      <c r="B13">
        <v>29</v>
      </c>
      <c r="C13" t="s">
        <v>11</v>
      </c>
      <c r="D13" t="s">
        <v>16</v>
      </c>
      <c r="E13" t="s">
        <v>19</v>
      </c>
      <c r="F13">
        <v>4193</v>
      </c>
      <c r="G13">
        <v>3</v>
      </c>
      <c r="H13" t="s">
        <v>14</v>
      </c>
      <c r="I13">
        <v>9</v>
      </c>
      <c r="J13" t="s">
        <v>18</v>
      </c>
      <c r="K13">
        <f>IF($J13="Yes",1,0)</f>
        <v>0</v>
      </c>
    </row>
    <row r="14" spans="1:11">
      <c r="A14">
        <v>16</v>
      </c>
      <c r="B14">
        <v>31</v>
      </c>
      <c r="C14" t="s">
        <v>15</v>
      </c>
      <c r="D14" t="s">
        <v>16</v>
      </c>
      <c r="E14" t="s">
        <v>17</v>
      </c>
      <c r="F14">
        <v>2911</v>
      </c>
      <c r="G14">
        <v>3</v>
      </c>
      <c r="H14" t="s">
        <v>18</v>
      </c>
      <c r="I14">
        <v>5</v>
      </c>
      <c r="J14" t="s">
        <v>18</v>
      </c>
      <c r="K14">
        <f>IF($J14="Yes",1,0)</f>
        <v>0</v>
      </c>
    </row>
    <row r="15" spans="1:11">
      <c r="A15">
        <v>18</v>
      </c>
      <c r="B15">
        <v>34</v>
      </c>
      <c r="C15" t="s">
        <v>15</v>
      </c>
      <c r="D15" t="s">
        <v>16</v>
      </c>
      <c r="E15" t="s">
        <v>19</v>
      </c>
      <c r="F15">
        <v>2661</v>
      </c>
      <c r="G15">
        <v>4</v>
      </c>
      <c r="H15" t="s">
        <v>18</v>
      </c>
      <c r="I15">
        <v>2</v>
      </c>
      <c r="J15" t="s">
        <v>18</v>
      </c>
      <c r="K15">
        <f>IF($J15="Yes",1,0)</f>
        <v>0</v>
      </c>
    </row>
    <row r="16" spans="1:11">
      <c r="A16">
        <v>19</v>
      </c>
      <c r="B16">
        <v>28</v>
      </c>
      <c r="C16" t="s">
        <v>15</v>
      </c>
      <c r="D16" t="s">
        <v>16</v>
      </c>
      <c r="E16" t="s">
        <v>19</v>
      </c>
      <c r="F16">
        <v>2028</v>
      </c>
      <c r="G16">
        <v>3</v>
      </c>
      <c r="H16" t="s">
        <v>14</v>
      </c>
      <c r="I16">
        <v>4</v>
      </c>
      <c r="J16" t="s">
        <v>14</v>
      </c>
      <c r="K16">
        <f>IF($J16="Yes",1,0)</f>
        <v>1</v>
      </c>
    </row>
    <row r="17" spans="1:11">
      <c r="A17">
        <v>20</v>
      </c>
      <c r="B17">
        <v>29</v>
      </c>
      <c r="C17" t="s">
        <v>11</v>
      </c>
      <c r="D17" t="s">
        <v>16</v>
      </c>
      <c r="E17" t="s">
        <v>20</v>
      </c>
      <c r="F17">
        <v>9980</v>
      </c>
      <c r="G17">
        <v>1</v>
      </c>
      <c r="H17" t="s">
        <v>18</v>
      </c>
      <c r="I17">
        <v>10</v>
      </c>
      <c r="J17" t="s">
        <v>18</v>
      </c>
      <c r="K17">
        <f>IF($J17="Yes",1,0)</f>
        <v>0</v>
      </c>
    </row>
    <row r="18" spans="1:11">
      <c r="A18">
        <v>21</v>
      </c>
      <c r="B18">
        <v>32</v>
      </c>
      <c r="C18" t="s">
        <v>15</v>
      </c>
      <c r="D18" t="s">
        <v>16</v>
      </c>
      <c r="E18" t="s">
        <v>17</v>
      </c>
      <c r="F18">
        <v>3298</v>
      </c>
      <c r="G18">
        <v>2</v>
      </c>
      <c r="H18" t="s">
        <v>14</v>
      </c>
      <c r="I18">
        <v>6</v>
      </c>
      <c r="J18" t="s">
        <v>18</v>
      </c>
      <c r="K18">
        <f>IF($J18="Yes",1,0)</f>
        <v>0</v>
      </c>
    </row>
    <row r="19" spans="1:11">
      <c r="A19">
        <v>22</v>
      </c>
      <c r="B19">
        <v>22</v>
      </c>
      <c r="C19" t="s">
        <v>15</v>
      </c>
      <c r="D19" t="s">
        <v>16</v>
      </c>
      <c r="E19" t="s">
        <v>19</v>
      </c>
      <c r="F19">
        <v>2935</v>
      </c>
      <c r="G19">
        <v>4</v>
      </c>
      <c r="H19" t="s">
        <v>14</v>
      </c>
      <c r="I19">
        <v>1</v>
      </c>
      <c r="J19" t="s">
        <v>18</v>
      </c>
      <c r="K19">
        <f>IF($J19="Yes",1,0)</f>
        <v>0</v>
      </c>
    </row>
    <row r="20" spans="1:11">
      <c r="A20">
        <v>23</v>
      </c>
      <c r="B20">
        <v>53</v>
      </c>
      <c r="C20" t="s">
        <v>11</v>
      </c>
      <c r="D20" t="s">
        <v>12</v>
      </c>
      <c r="E20" t="s">
        <v>22</v>
      </c>
      <c r="F20">
        <v>15427</v>
      </c>
      <c r="G20">
        <v>4</v>
      </c>
      <c r="H20" t="s">
        <v>18</v>
      </c>
      <c r="I20">
        <v>25</v>
      </c>
      <c r="J20" t="s">
        <v>18</v>
      </c>
      <c r="K20">
        <f>IF($J20="Yes",1,0)</f>
        <v>0</v>
      </c>
    </row>
    <row r="21" spans="1:11">
      <c r="A21">
        <v>24</v>
      </c>
      <c r="B21">
        <v>38</v>
      </c>
      <c r="C21" t="s">
        <v>15</v>
      </c>
      <c r="D21" t="s">
        <v>16</v>
      </c>
      <c r="E21" t="s">
        <v>17</v>
      </c>
      <c r="F21">
        <v>3944</v>
      </c>
      <c r="G21">
        <v>4</v>
      </c>
      <c r="H21" t="s">
        <v>14</v>
      </c>
      <c r="I21">
        <v>3</v>
      </c>
      <c r="J21" t="s">
        <v>18</v>
      </c>
      <c r="K21">
        <f>IF($J21="Yes",1,0)</f>
        <v>0</v>
      </c>
    </row>
    <row r="22" spans="1:11">
      <c r="A22">
        <v>26</v>
      </c>
      <c r="B22">
        <v>24</v>
      </c>
      <c r="C22" t="s">
        <v>11</v>
      </c>
      <c r="D22" t="s">
        <v>16</v>
      </c>
      <c r="E22" t="s">
        <v>20</v>
      </c>
      <c r="F22">
        <v>4011</v>
      </c>
      <c r="G22">
        <v>3</v>
      </c>
      <c r="H22" t="s">
        <v>18</v>
      </c>
      <c r="I22">
        <v>4</v>
      </c>
      <c r="J22" t="s">
        <v>18</v>
      </c>
      <c r="K22">
        <f>IF($J22="Yes",1,0)</f>
        <v>0</v>
      </c>
    </row>
    <row r="23" spans="1:11">
      <c r="A23">
        <v>27</v>
      </c>
      <c r="B23">
        <v>36</v>
      </c>
      <c r="C23" t="s">
        <v>15</v>
      </c>
      <c r="D23" t="s">
        <v>12</v>
      </c>
      <c r="E23" t="s">
        <v>23</v>
      </c>
      <c r="F23">
        <v>3407</v>
      </c>
      <c r="G23">
        <v>1</v>
      </c>
      <c r="H23" t="s">
        <v>18</v>
      </c>
      <c r="I23">
        <v>5</v>
      </c>
      <c r="J23" t="s">
        <v>14</v>
      </c>
      <c r="K23">
        <f>IF($J23="Yes",1,0)</f>
        <v>1</v>
      </c>
    </row>
    <row r="24" spans="1:11">
      <c r="A24">
        <v>28</v>
      </c>
      <c r="B24">
        <v>34</v>
      </c>
      <c r="C24" t="s">
        <v>11</v>
      </c>
      <c r="D24" t="s">
        <v>16</v>
      </c>
      <c r="E24" t="s">
        <v>24</v>
      </c>
      <c r="F24">
        <v>11994</v>
      </c>
      <c r="G24">
        <v>2</v>
      </c>
      <c r="H24" t="s">
        <v>18</v>
      </c>
      <c r="I24">
        <v>12</v>
      </c>
      <c r="J24" t="s">
        <v>18</v>
      </c>
      <c r="K24">
        <f>IF($J24="Yes",1,0)</f>
        <v>0</v>
      </c>
    </row>
    <row r="25" spans="1:11">
      <c r="A25">
        <v>30</v>
      </c>
      <c r="B25">
        <v>21</v>
      </c>
      <c r="C25" t="s">
        <v>15</v>
      </c>
      <c r="D25" t="s">
        <v>16</v>
      </c>
      <c r="E25" t="s">
        <v>17</v>
      </c>
      <c r="F25">
        <v>1232</v>
      </c>
      <c r="G25">
        <v>4</v>
      </c>
      <c r="H25" t="s">
        <v>18</v>
      </c>
      <c r="I25">
        <v>0</v>
      </c>
      <c r="J25" t="s">
        <v>18</v>
      </c>
      <c r="K25">
        <f>IF($J25="Yes",1,0)</f>
        <v>0</v>
      </c>
    </row>
    <row r="26" spans="1:11">
      <c r="A26">
        <v>31</v>
      </c>
      <c r="B26">
        <v>34</v>
      </c>
      <c r="C26" t="s">
        <v>15</v>
      </c>
      <c r="D26" t="s">
        <v>16</v>
      </c>
      <c r="E26" t="s">
        <v>17</v>
      </c>
      <c r="F26">
        <v>2960</v>
      </c>
      <c r="G26">
        <v>1</v>
      </c>
      <c r="H26" t="s">
        <v>18</v>
      </c>
      <c r="I26">
        <v>4</v>
      </c>
      <c r="J26" t="s">
        <v>14</v>
      </c>
      <c r="K26">
        <f>IF($J26="Yes",1,0)</f>
        <v>1</v>
      </c>
    </row>
    <row r="27" spans="1:11">
      <c r="A27">
        <v>32</v>
      </c>
      <c r="B27">
        <v>53</v>
      </c>
      <c r="C27" t="s">
        <v>11</v>
      </c>
      <c r="D27" t="s">
        <v>16</v>
      </c>
      <c r="E27" t="s">
        <v>22</v>
      </c>
      <c r="F27">
        <v>19094</v>
      </c>
      <c r="G27">
        <v>3</v>
      </c>
      <c r="H27" t="s">
        <v>18</v>
      </c>
      <c r="I27">
        <v>14</v>
      </c>
      <c r="J27" t="s">
        <v>18</v>
      </c>
      <c r="K27">
        <f>IF($J27="Yes",1,0)</f>
        <v>0</v>
      </c>
    </row>
    <row r="28" spans="1:11">
      <c r="A28">
        <v>33</v>
      </c>
      <c r="B28">
        <v>32</v>
      </c>
      <c r="C28" t="s">
        <v>11</v>
      </c>
      <c r="D28" t="s">
        <v>16</v>
      </c>
      <c r="E28" t="s">
        <v>17</v>
      </c>
      <c r="F28">
        <v>3919</v>
      </c>
      <c r="G28">
        <v>1</v>
      </c>
      <c r="H28" t="s">
        <v>14</v>
      </c>
      <c r="I28">
        <v>10</v>
      </c>
      <c r="J28" t="s">
        <v>14</v>
      </c>
      <c r="K28">
        <f>IF($J28="Yes",1,0)</f>
        <v>1</v>
      </c>
    </row>
    <row r="29" spans="1:11">
      <c r="A29">
        <v>35</v>
      </c>
      <c r="B29">
        <v>42</v>
      </c>
      <c r="C29" t="s">
        <v>15</v>
      </c>
      <c r="D29" t="s">
        <v>12</v>
      </c>
      <c r="E29" t="s">
        <v>13</v>
      </c>
      <c r="F29">
        <v>6825</v>
      </c>
      <c r="G29">
        <v>2</v>
      </c>
      <c r="H29" t="s">
        <v>18</v>
      </c>
      <c r="I29">
        <v>9</v>
      </c>
      <c r="J29" t="s">
        <v>18</v>
      </c>
      <c r="K29">
        <f>IF($J29="Yes",1,0)</f>
        <v>0</v>
      </c>
    </row>
    <row r="30" spans="1:11">
      <c r="A30">
        <v>36</v>
      </c>
      <c r="B30">
        <v>44</v>
      </c>
      <c r="C30" t="s">
        <v>11</v>
      </c>
      <c r="D30" t="s">
        <v>16</v>
      </c>
      <c r="E30" t="s">
        <v>21</v>
      </c>
      <c r="F30">
        <v>10248</v>
      </c>
      <c r="G30">
        <v>4</v>
      </c>
      <c r="H30" t="s">
        <v>18</v>
      </c>
      <c r="I30">
        <v>22</v>
      </c>
      <c r="J30" t="s">
        <v>18</v>
      </c>
      <c r="K30">
        <f>IF($J30="Yes",1,0)</f>
        <v>0</v>
      </c>
    </row>
    <row r="31" spans="1:11">
      <c r="A31">
        <v>38</v>
      </c>
      <c r="B31">
        <v>46</v>
      </c>
      <c r="C31" t="s">
        <v>11</v>
      </c>
      <c r="D31" t="s">
        <v>12</v>
      </c>
      <c r="E31" t="s">
        <v>22</v>
      </c>
      <c r="F31">
        <v>18947</v>
      </c>
      <c r="G31">
        <v>1</v>
      </c>
      <c r="H31" t="s">
        <v>18</v>
      </c>
      <c r="I31">
        <v>2</v>
      </c>
      <c r="J31" t="s">
        <v>18</v>
      </c>
      <c r="K31">
        <f>IF($J31="Yes",1,0)</f>
        <v>0</v>
      </c>
    </row>
    <row r="32" spans="1:11">
      <c r="A32">
        <v>39</v>
      </c>
      <c r="B32">
        <v>33</v>
      </c>
      <c r="C32" t="s">
        <v>15</v>
      </c>
      <c r="D32" t="s">
        <v>16</v>
      </c>
      <c r="E32" t="s">
        <v>19</v>
      </c>
      <c r="F32">
        <v>2496</v>
      </c>
      <c r="G32">
        <v>4</v>
      </c>
      <c r="H32" t="s">
        <v>18</v>
      </c>
      <c r="I32">
        <v>1</v>
      </c>
      <c r="J32" t="s">
        <v>18</v>
      </c>
      <c r="K32">
        <f>IF($J32="Yes",1,0)</f>
        <v>0</v>
      </c>
    </row>
    <row r="33" spans="1:11">
      <c r="A33">
        <v>40</v>
      </c>
      <c r="B33">
        <v>44</v>
      </c>
      <c r="C33" t="s">
        <v>15</v>
      </c>
      <c r="D33" t="s">
        <v>16</v>
      </c>
      <c r="E33" t="s">
        <v>21</v>
      </c>
      <c r="F33">
        <v>6465</v>
      </c>
      <c r="G33">
        <v>4</v>
      </c>
      <c r="H33" t="s">
        <v>14</v>
      </c>
      <c r="I33">
        <v>4</v>
      </c>
      <c r="J33" t="s">
        <v>18</v>
      </c>
      <c r="K33">
        <f>IF($J33="Yes",1,0)</f>
        <v>0</v>
      </c>
    </row>
    <row r="34" spans="1:11">
      <c r="A34">
        <v>41</v>
      </c>
      <c r="B34">
        <v>30</v>
      </c>
      <c r="C34" t="s">
        <v>15</v>
      </c>
      <c r="D34" t="s">
        <v>16</v>
      </c>
      <c r="E34" t="s">
        <v>19</v>
      </c>
      <c r="F34">
        <v>2206</v>
      </c>
      <c r="G34">
        <v>3</v>
      </c>
      <c r="H34" t="s">
        <v>18</v>
      </c>
      <c r="I34">
        <v>10</v>
      </c>
      <c r="J34" t="s">
        <v>18</v>
      </c>
      <c r="K34">
        <f>IF($J34="Yes",1,0)</f>
        <v>0</v>
      </c>
    </row>
    <row r="35" spans="1:11">
      <c r="A35">
        <v>42</v>
      </c>
      <c r="B35">
        <v>39</v>
      </c>
      <c r="C35" t="s">
        <v>15</v>
      </c>
      <c r="D35" t="s">
        <v>12</v>
      </c>
      <c r="E35" t="s">
        <v>23</v>
      </c>
      <c r="F35">
        <v>2086</v>
      </c>
      <c r="G35">
        <v>4</v>
      </c>
      <c r="H35" t="s">
        <v>18</v>
      </c>
      <c r="I35">
        <v>1</v>
      </c>
      <c r="J35" t="s">
        <v>14</v>
      </c>
      <c r="K35">
        <f>IF($J35="Yes",1,0)</f>
        <v>1</v>
      </c>
    </row>
    <row r="36" spans="1:11">
      <c r="A36">
        <v>45</v>
      </c>
      <c r="B36">
        <v>24</v>
      </c>
      <c r="C36" t="s">
        <v>15</v>
      </c>
      <c r="D36" t="s">
        <v>16</v>
      </c>
      <c r="E36" t="s">
        <v>17</v>
      </c>
      <c r="F36">
        <v>2293</v>
      </c>
      <c r="G36">
        <v>4</v>
      </c>
      <c r="H36" t="s">
        <v>14</v>
      </c>
      <c r="I36">
        <v>2</v>
      </c>
      <c r="J36" t="s">
        <v>14</v>
      </c>
      <c r="K36">
        <f>IF($J36="Yes",1,0)</f>
        <v>1</v>
      </c>
    </row>
    <row r="37" spans="1:11">
      <c r="A37">
        <v>46</v>
      </c>
      <c r="B37">
        <v>43</v>
      </c>
      <c r="C37" t="s">
        <v>11</v>
      </c>
      <c r="D37" t="s">
        <v>16</v>
      </c>
      <c r="E37" t="s">
        <v>17</v>
      </c>
      <c r="F37">
        <v>2645</v>
      </c>
      <c r="G37">
        <v>3</v>
      </c>
      <c r="H37" t="s">
        <v>18</v>
      </c>
      <c r="I37">
        <v>5</v>
      </c>
      <c r="J37" t="s">
        <v>18</v>
      </c>
      <c r="K37">
        <f>IF($J37="Yes",1,0)</f>
        <v>0</v>
      </c>
    </row>
    <row r="38" spans="1:11">
      <c r="A38">
        <v>47</v>
      </c>
      <c r="B38">
        <v>50</v>
      </c>
      <c r="C38" t="s">
        <v>15</v>
      </c>
      <c r="D38" t="s">
        <v>12</v>
      </c>
      <c r="E38" t="s">
        <v>23</v>
      </c>
      <c r="F38">
        <v>2683</v>
      </c>
      <c r="G38">
        <v>3</v>
      </c>
      <c r="H38" t="s">
        <v>14</v>
      </c>
      <c r="I38">
        <v>3</v>
      </c>
      <c r="J38" t="s">
        <v>14</v>
      </c>
      <c r="K38">
        <f>IF($J38="Yes",1,0)</f>
        <v>1</v>
      </c>
    </row>
    <row r="39" spans="1:11">
      <c r="A39">
        <v>49</v>
      </c>
      <c r="B39">
        <v>35</v>
      </c>
      <c r="C39" t="s">
        <v>11</v>
      </c>
      <c r="D39" t="s">
        <v>12</v>
      </c>
      <c r="E39" t="s">
        <v>23</v>
      </c>
      <c r="F39">
        <v>2014</v>
      </c>
      <c r="G39">
        <v>4</v>
      </c>
      <c r="H39" t="s">
        <v>18</v>
      </c>
      <c r="I39">
        <v>2</v>
      </c>
      <c r="J39" t="s">
        <v>18</v>
      </c>
      <c r="K39">
        <f>IF($J39="Yes",1,0)</f>
        <v>0</v>
      </c>
    </row>
    <row r="40" spans="1:11">
      <c r="A40">
        <v>51</v>
      </c>
      <c r="B40">
        <v>36</v>
      </c>
      <c r="C40" t="s">
        <v>11</v>
      </c>
      <c r="D40" t="s">
        <v>16</v>
      </c>
      <c r="E40" t="s">
        <v>17</v>
      </c>
      <c r="F40">
        <v>3419</v>
      </c>
      <c r="G40">
        <v>1</v>
      </c>
      <c r="H40" t="s">
        <v>14</v>
      </c>
      <c r="I40">
        <v>1</v>
      </c>
      <c r="J40" t="s">
        <v>18</v>
      </c>
      <c r="K40">
        <f>IF($J40="Yes",1,0)</f>
        <v>0</v>
      </c>
    </row>
    <row r="41" spans="1:11">
      <c r="A41">
        <v>52</v>
      </c>
      <c r="B41">
        <v>33</v>
      </c>
      <c r="C41" t="s">
        <v>11</v>
      </c>
      <c r="D41" t="s">
        <v>12</v>
      </c>
      <c r="E41" t="s">
        <v>13</v>
      </c>
      <c r="F41">
        <v>5376</v>
      </c>
      <c r="G41">
        <v>1</v>
      </c>
      <c r="H41" t="s">
        <v>18</v>
      </c>
      <c r="I41">
        <v>5</v>
      </c>
      <c r="J41" t="s">
        <v>18</v>
      </c>
      <c r="K41">
        <f>IF($J41="Yes",1,0)</f>
        <v>0</v>
      </c>
    </row>
    <row r="42" spans="1:11">
      <c r="A42">
        <v>53</v>
      </c>
      <c r="B42">
        <v>35</v>
      </c>
      <c r="C42" t="s">
        <v>15</v>
      </c>
      <c r="D42" t="s">
        <v>16</v>
      </c>
      <c r="E42" t="s">
        <v>19</v>
      </c>
      <c r="F42">
        <v>1951</v>
      </c>
      <c r="G42">
        <v>4</v>
      </c>
      <c r="H42" t="s">
        <v>18</v>
      </c>
      <c r="I42">
        <v>1</v>
      </c>
      <c r="J42" t="s">
        <v>18</v>
      </c>
      <c r="K42">
        <f>IF($J42="Yes",1,0)</f>
        <v>0</v>
      </c>
    </row>
    <row r="43" spans="1:11">
      <c r="A43">
        <v>54</v>
      </c>
      <c r="B43">
        <v>27</v>
      </c>
      <c r="C43" t="s">
        <v>11</v>
      </c>
      <c r="D43" t="s">
        <v>16</v>
      </c>
      <c r="E43" t="s">
        <v>19</v>
      </c>
      <c r="F43">
        <v>2341</v>
      </c>
      <c r="G43">
        <v>1</v>
      </c>
      <c r="H43" t="s">
        <v>18</v>
      </c>
      <c r="I43">
        <v>1</v>
      </c>
      <c r="J43" t="s">
        <v>18</v>
      </c>
      <c r="K43">
        <f>IF($J43="Yes",1,0)</f>
        <v>0</v>
      </c>
    </row>
    <row r="44" spans="1:11">
      <c r="A44">
        <v>55</v>
      </c>
      <c r="B44">
        <v>26</v>
      </c>
      <c r="C44" t="s">
        <v>15</v>
      </c>
      <c r="D44" t="s">
        <v>16</v>
      </c>
      <c r="E44" t="s">
        <v>19</v>
      </c>
      <c r="F44">
        <v>2293</v>
      </c>
      <c r="G44">
        <v>3</v>
      </c>
      <c r="H44" t="s">
        <v>18</v>
      </c>
      <c r="I44">
        <v>1</v>
      </c>
      <c r="J44" t="s">
        <v>14</v>
      </c>
      <c r="K44">
        <f>IF($J44="Yes",1,0)</f>
        <v>1</v>
      </c>
    </row>
    <row r="45" spans="1:11">
      <c r="A45">
        <v>56</v>
      </c>
      <c r="B45">
        <v>27</v>
      </c>
      <c r="C45" t="s">
        <v>15</v>
      </c>
      <c r="D45" t="s">
        <v>12</v>
      </c>
      <c r="E45" t="s">
        <v>13</v>
      </c>
      <c r="F45">
        <v>8726</v>
      </c>
      <c r="G45">
        <v>3</v>
      </c>
      <c r="H45" t="s">
        <v>18</v>
      </c>
      <c r="I45">
        <v>9</v>
      </c>
      <c r="J45" t="s">
        <v>18</v>
      </c>
      <c r="K45">
        <f>IF($J45="Yes",1,0)</f>
        <v>0</v>
      </c>
    </row>
    <row r="46" spans="1:11">
      <c r="A46">
        <v>57</v>
      </c>
      <c r="B46">
        <v>30</v>
      </c>
      <c r="C46" t="s">
        <v>11</v>
      </c>
      <c r="D46" t="s">
        <v>16</v>
      </c>
      <c r="E46" t="s">
        <v>19</v>
      </c>
      <c r="F46">
        <v>4011</v>
      </c>
      <c r="G46">
        <v>4</v>
      </c>
      <c r="H46" t="s">
        <v>18</v>
      </c>
      <c r="I46">
        <v>12</v>
      </c>
      <c r="J46" t="s">
        <v>18</v>
      </c>
      <c r="K46">
        <f>IF($J46="Yes",1,0)</f>
        <v>0</v>
      </c>
    </row>
    <row r="47" spans="1:11">
      <c r="A47">
        <v>58</v>
      </c>
      <c r="B47">
        <v>41</v>
      </c>
      <c r="C47" t="s">
        <v>11</v>
      </c>
      <c r="D47" t="s">
        <v>16</v>
      </c>
      <c r="E47" t="s">
        <v>24</v>
      </c>
      <c r="F47">
        <v>19545</v>
      </c>
      <c r="G47">
        <v>3</v>
      </c>
      <c r="H47" t="s">
        <v>18</v>
      </c>
      <c r="I47">
        <v>22</v>
      </c>
      <c r="J47" t="s">
        <v>14</v>
      </c>
      <c r="K47">
        <f>IF($J47="Yes",1,0)</f>
        <v>1</v>
      </c>
    </row>
    <row r="48" spans="1:11">
      <c r="A48">
        <v>60</v>
      </c>
      <c r="B48">
        <v>34</v>
      </c>
      <c r="C48" t="s">
        <v>15</v>
      </c>
      <c r="D48" t="s">
        <v>12</v>
      </c>
      <c r="E48" t="s">
        <v>13</v>
      </c>
      <c r="F48">
        <v>4568</v>
      </c>
      <c r="G48">
        <v>3</v>
      </c>
      <c r="H48" t="s">
        <v>18</v>
      </c>
      <c r="I48">
        <v>9</v>
      </c>
      <c r="J48" t="s">
        <v>18</v>
      </c>
      <c r="K48">
        <f>IF($J48="Yes",1,0)</f>
        <v>0</v>
      </c>
    </row>
    <row r="49" spans="1:11">
      <c r="A49">
        <v>61</v>
      </c>
      <c r="B49">
        <v>37</v>
      </c>
      <c r="C49" t="s">
        <v>15</v>
      </c>
      <c r="D49" t="s">
        <v>16</v>
      </c>
      <c r="E49" t="s">
        <v>17</v>
      </c>
      <c r="F49">
        <v>3022</v>
      </c>
      <c r="G49">
        <v>2</v>
      </c>
      <c r="H49" t="s">
        <v>18</v>
      </c>
      <c r="I49">
        <v>1</v>
      </c>
      <c r="J49" t="s">
        <v>18</v>
      </c>
      <c r="K49">
        <f>IF($J49="Yes",1,0)</f>
        <v>0</v>
      </c>
    </row>
    <row r="50" spans="1:11">
      <c r="A50">
        <v>62</v>
      </c>
      <c r="B50">
        <v>46</v>
      </c>
      <c r="C50" t="s">
        <v>15</v>
      </c>
      <c r="D50" t="s">
        <v>12</v>
      </c>
      <c r="E50" t="s">
        <v>13</v>
      </c>
      <c r="F50">
        <v>5772</v>
      </c>
      <c r="G50">
        <v>4</v>
      </c>
      <c r="H50" t="s">
        <v>14</v>
      </c>
      <c r="I50">
        <v>9</v>
      </c>
      <c r="J50" t="s">
        <v>18</v>
      </c>
      <c r="K50">
        <f>IF($J50="Yes",1,0)</f>
        <v>0</v>
      </c>
    </row>
    <row r="51" spans="1:11">
      <c r="A51">
        <v>63</v>
      </c>
      <c r="B51">
        <v>35</v>
      </c>
      <c r="C51" t="s">
        <v>15</v>
      </c>
      <c r="D51" t="s">
        <v>16</v>
      </c>
      <c r="E51" t="s">
        <v>19</v>
      </c>
      <c r="F51">
        <v>2269</v>
      </c>
      <c r="G51">
        <v>4</v>
      </c>
      <c r="H51" t="s">
        <v>18</v>
      </c>
      <c r="I51">
        <v>1</v>
      </c>
      <c r="J51" t="s">
        <v>18</v>
      </c>
      <c r="K51">
        <f>IF($J51="Yes",1,0)</f>
        <v>0</v>
      </c>
    </row>
    <row r="52" spans="1:11">
      <c r="A52">
        <v>64</v>
      </c>
      <c r="B52">
        <v>48</v>
      </c>
      <c r="C52" t="s">
        <v>15</v>
      </c>
      <c r="D52" t="s">
        <v>16</v>
      </c>
      <c r="E52" t="s">
        <v>19</v>
      </c>
      <c r="F52">
        <v>5381</v>
      </c>
      <c r="G52">
        <v>3</v>
      </c>
      <c r="H52" t="s">
        <v>14</v>
      </c>
      <c r="I52">
        <v>1</v>
      </c>
      <c r="J52" t="s">
        <v>14</v>
      </c>
      <c r="K52">
        <f>IF($J52="Yes",1,0)</f>
        <v>1</v>
      </c>
    </row>
    <row r="53" spans="1:11">
      <c r="A53">
        <v>65</v>
      </c>
      <c r="B53">
        <v>28</v>
      </c>
      <c r="C53" t="s">
        <v>15</v>
      </c>
      <c r="D53" t="s">
        <v>16</v>
      </c>
      <c r="E53" t="s">
        <v>19</v>
      </c>
      <c r="F53">
        <v>3441</v>
      </c>
      <c r="G53">
        <v>3</v>
      </c>
      <c r="H53" t="s">
        <v>14</v>
      </c>
      <c r="I53">
        <v>2</v>
      </c>
      <c r="J53" t="s">
        <v>14</v>
      </c>
      <c r="K53">
        <f>IF($J53="Yes",1,0)</f>
        <v>1</v>
      </c>
    </row>
    <row r="54" spans="1:11">
      <c r="A54">
        <v>68</v>
      </c>
      <c r="B54">
        <v>44</v>
      </c>
      <c r="C54" t="s">
        <v>11</v>
      </c>
      <c r="D54" t="s">
        <v>12</v>
      </c>
      <c r="E54" t="s">
        <v>13</v>
      </c>
      <c r="F54">
        <v>5454</v>
      </c>
      <c r="G54">
        <v>1</v>
      </c>
      <c r="H54" t="s">
        <v>14</v>
      </c>
      <c r="I54">
        <v>4</v>
      </c>
      <c r="J54" t="s">
        <v>18</v>
      </c>
      <c r="K54">
        <f>IF($J54="Yes",1,0)</f>
        <v>0</v>
      </c>
    </row>
    <row r="55" spans="1:11">
      <c r="A55">
        <v>70</v>
      </c>
      <c r="B55">
        <v>35</v>
      </c>
      <c r="C55" t="s">
        <v>15</v>
      </c>
      <c r="D55" t="s">
        <v>16</v>
      </c>
      <c r="E55" t="s">
        <v>21</v>
      </c>
      <c r="F55">
        <v>9884</v>
      </c>
      <c r="G55">
        <v>1</v>
      </c>
      <c r="H55" t="s">
        <v>14</v>
      </c>
      <c r="I55">
        <v>4</v>
      </c>
      <c r="J55" t="s">
        <v>18</v>
      </c>
      <c r="K55">
        <f>IF($J55="Yes",1,0)</f>
        <v>0</v>
      </c>
    </row>
    <row r="56" spans="1:11">
      <c r="A56">
        <v>72</v>
      </c>
      <c r="B56">
        <v>26</v>
      </c>
      <c r="C56" t="s">
        <v>11</v>
      </c>
      <c r="D56" t="s">
        <v>12</v>
      </c>
      <c r="E56" t="s">
        <v>13</v>
      </c>
      <c r="F56">
        <v>4157</v>
      </c>
      <c r="G56">
        <v>4</v>
      </c>
      <c r="H56" t="s">
        <v>14</v>
      </c>
      <c r="I56">
        <v>2</v>
      </c>
      <c r="J56" t="s">
        <v>18</v>
      </c>
      <c r="K56">
        <f>IF($J56="Yes",1,0)</f>
        <v>0</v>
      </c>
    </row>
    <row r="57" spans="1:11">
      <c r="A57">
        <v>73</v>
      </c>
      <c r="B57">
        <v>33</v>
      </c>
      <c r="C57" t="s">
        <v>11</v>
      </c>
      <c r="D57" t="s">
        <v>16</v>
      </c>
      <c r="E57" t="s">
        <v>24</v>
      </c>
      <c r="F57">
        <v>13458</v>
      </c>
      <c r="G57">
        <v>4</v>
      </c>
      <c r="H57" t="s">
        <v>14</v>
      </c>
      <c r="I57">
        <v>15</v>
      </c>
      <c r="J57" t="s">
        <v>18</v>
      </c>
      <c r="K57">
        <f>IF($J57="Yes",1,0)</f>
        <v>0</v>
      </c>
    </row>
    <row r="58" spans="1:11">
      <c r="A58">
        <v>74</v>
      </c>
      <c r="B58">
        <v>35</v>
      </c>
      <c r="C58" t="s">
        <v>15</v>
      </c>
      <c r="D58" t="s">
        <v>12</v>
      </c>
      <c r="E58" t="s">
        <v>13</v>
      </c>
      <c r="F58">
        <v>9069</v>
      </c>
      <c r="G58">
        <v>1</v>
      </c>
      <c r="H58" t="s">
        <v>18</v>
      </c>
      <c r="I58">
        <v>9</v>
      </c>
      <c r="J58" t="s">
        <v>18</v>
      </c>
      <c r="K58">
        <f>IF($J58="Yes",1,0)</f>
        <v>0</v>
      </c>
    </row>
    <row r="59" spans="1:11">
      <c r="A59">
        <v>75</v>
      </c>
      <c r="B59">
        <v>35</v>
      </c>
      <c r="C59" t="s">
        <v>11</v>
      </c>
      <c r="D59" t="s">
        <v>16</v>
      </c>
      <c r="E59" t="s">
        <v>19</v>
      </c>
      <c r="F59">
        <v>4014</v>
      </c>
      <c r="G59">
        <v>1</v>
      </c>
      <c r="H59" t="s">
        <v>14</v>
      </c>
      <c r="I59">
        <v>2</v>
      </c>
      <c r="J59" t="s">
        <v>18</v>
      </c>
      <c r="K59">
        <f>IF($J59="Yes",1,0)</f>
        <v>0</v>
      </c>
    </row>
    <row r="60" spans="1:11">
      <c r="A60">
        <v>76</v>
      </c>
      <c r="B60">
        <v>31</v>
      </c>
      <c r="C60" t="s">
        <v>15</v>
      </c>
      <c r="D60" t="s">
        <v>16</v>
      </c>
      <c r="E60" t="s">
        <v>19</v>
      </c>
      <c r="F60">
        <v>5915</v>
      </c>
      <c r="G60">
        <v>4</v>
      </c>
      <c r="H60" t="s">
        <v>18</v>
      </c>
      <c r="I60">
        <v>7</v>
      </c>
      <c r="J60" t="s">
        <v>18</v>
      </c>
      <c r="K60">
        <f>IF($J60="Yes",1,0)</f>
        <v>0</v>
      </c>
    </row>
    <row r="61" spans="1:11">
      <c r="A61">
        <v>77</v>
      </c>
      <c r="B61">
        <v>37</v>
      </c>
      <c r="C61" t="s">
        <v>15</v>
      </c>
      <c r="D61" t="s">
        <v>16</v>
      </c>
      <c r="E61" t="s">
        <v>20</v>
      </c>
      <c r="F61">
        <v>5993</v>
      </c>
      <c r="G61">
        <v>3</v>
      </c>
      <c r="H61" t="s">
        <v>18</v>
      </c>
      <c r="I61">
        <v>7</v>
      </c>
      <c r="J61" t="s">
        <v>18</v>
      </c>
      <c r="K61">
        <f>IF($J61="Yes",1,0)</f>
        <v>0</v>
      </c>
    </row>
    <row r="62" spans="1:11">
      <c r="A62">
        <v>78</v>
      </c>
      <c r="B62">
        <v>32</v>
      </c>
      <c r="C62" t="s">
        <v>15</v>
      </c>
      <c r="D62" t="s">
        <v>16</v>
      </c>
      <c r="E62" t="s">
        <v>20</v>
      </c>
      <c r="F62">
        <v>6162</v>
      </c>
      <c r="G62">
        <v>4</v>
      </c>
      <c r="H62" t="s">
        <v>14</v>
      </c>
      <c r="I62">
        <v>9</v>
      </c>
      <c r="J62" t="s">
        <v>18</v>
      </c>
      <c r="K62">
        <f>IF($J62="Yes",1,0)</f>
        <v>0</v>
      </c>
    </row>
    <row r="63" spans="1:11">
      <c r="A63">
        <v>79</v>
      </c>
      <c r="B63">
        <v>38</v>
      </c>
      <c r="C63" t="s">
        <v>11</v>
      </c>
      <c r="D63" t="s">
        <v>16</v>
      </c>
      <c r="E63" t="s">
        <v>19</v>
      </c>
      <c r="F63">
        <v>2406</v>
      </c>
      <c r="G63">
        <v>4</v>
      </c>
      <c r="H63" t="s">
        <v>18</v>
      </c>
      <c r="I63">
        <v>10</v>
      </c>
      <c r="J63" t="s">
        <v>18</v>
      </c>
      <c r="K63">
        <f>IF($J63="Yes",1,0)</f>
        <v>0</v>
      </c>
    </row>
    <row r="64" spans="1:11">
      <c r="A64">
        <v>80</v>
      </c>
      <c r="B64">
        <v>50</v>
      </c>
      <c r="C64" t="s">
        <v>11</v>
      </c>
      <c r="D64" t="s">
        <v>16</v>
      </c>
      <c r="E64" t="s">
        <v>24</v>
      </c>
      <c r="F64">
        <v>18740</v>
      </c>
      <c r="G64">
        <v>3</v>
      </c>
      <c r="H64" t="s">
        <v>14</v>
      </c>
      <c r="I64">
        <v>27</v>
      </c>
      <c r="J64" t="s">
        <v>18</v>
      </c>
      <c r="K64">
        <f>IF($J64="Yes",1,0)</f>
        <v>0</v>
      </c>
    </row>
    <row r="65" spans="1:11">
      <c r="A65">
        <v>81</v>
      </c>
      <c r="B65">
        <v>59</v>
      </c>
      <c r="C65" t="s">
        <v>11</v>
      </c>
      <c r="D65" t="s">
        <v>12</v>
      </c>
      <c r="E65" t="s">
        <v>13</v>
      </c>
      <c r="F65">
        <v>7637</v>
      </c>
      <c r="G65">
        <v>1</v>
      </c>
      <c r="H65" t="s">
        <v>18</v>
      </c>
      <c r="I65">
        <v>21</v>
      </c>
      <c r="J65" t="s">
        <v>18</v>
      </c>
      <c r="K65">
        <f>IF($J65="Yes",1,0)</f>
        <v>0</v>
      </c>
    </row>
    <row r="66" spans="1:11">
      <c r="A66">
        <v>83</v>
      </c>
      <c r="B66">
        <v>36</v>
      </c>
      <c r="C66" t="s">
        <v>11</v>
      </c>
      <c r="D66" t="s">
        <v>16</v>
      </c>
      <c r="E66" t="s">
        <v>21</v>
      </c>
      <c r="F66">
        <v>10096</v>
      </c>
      <c r="G66">
        <v>3</v>
      </c>
      <c r="H66" t="s">
        <v>18</v>
      </c>
      <c r="I66">
        <v>17</v>
      </c>
      <c r="J66" t="s">
        <v>18</v>
      </c>
      <c r="K66">
        <f>IF($J66="Yes",1,0)</f>
        <v>0</v>
      </c>
    </row>
    <row r="67" spans="1:11">
      <c r="A67">
        <v>84</v>
      </c>
      <c r="B67">
        <v>55</v>
      </c>
      <c r="C67" t="s">
        <v>11</v>
      </c>
      <c r="D67" t="s">
        <v>16</v>
      </c>
      <c r="E67" t="s">
        <v>22</v>
      </c>
      <c r="F67">
        <v>14756</v>
      </c>
      <c r="G67">
        <v>3</v>
      </c>
      <c r="H67" t="s">
        <v>14</v>
      </c>
      <c r="I67">
        <v>5</v>
      </c>
      <c r="J67" t="s">
        <v>18</v>
      </c>
      <c r="K67">
        <f>IF($J67="Yes",1,0)</f>
        <v>0</v>
      </c>
    </row>
    <row r="68" spans="1:11">
      <c r="A68">
        <v>85</v>
      </c>
      <c r="B68">
        <v>36</v>
      </c>
      <c r="C68" t="s">
        <v>15</v>
      </c>
      <c r="D68" t="s">
        <v>16</v>
      </c>
      <c r="E68" t="s">
        <v>20</v>
      </c>
      <c r="F68">
        <v>6499</v>
      </c>
      <c r="G68">
        <v>2</v>
      </c>
      <c r="H68" t="s">
        <v>18</v>
      </c>
      <c r="I68">
        <v>6</v>
      </c>
      <c r="J68" t="s">
        <v>18</v>
      </c>
      <c r="K68">
        <f>IF($J68="Yes",1,0)</f>
        <v>0</v>
      </c>
    </row>
    <row r="69" spans="1:11">
      <c r="A69">
        <v>86</v>
      </c>
      <c r="B69">
        <v>45</v>
      </c>
      <c r="C69" t="s">
        <v>15</v>
      </c>
      <c r="D69" t="s">
        <v>16</v>
      </c>
      <c r="E69" t="s">
        <v>17</v>
      </c>
      <c r="F69">
        <v>9724</v>
      </c>
      <c r="G69">
        <v>1</v>
      </c>
      <c r="H69" t="s">
        <v>18</v>
      </c>
      <c r="I69">
        <v>1</v>
      </c>
      <c r="J69" t="s">
        <v>18</v>
      </c>
      <c r="K69">
        <f>IF($J69="Yes",1,0)</f>
        <v>0</v>
      </c>
    </row>
    <row r="70" spans="1:11">
      <c r="A70">
        <v>88</v>
      </c>
      <c r="B70">
        <v>35</v>
      </c>
      <c r="C70" t="s">
        <v>15</v>
      </c>
      <c r="D70" t="s">
        <v>16</v>
      </c>
      <c r="E70" t="s">
        <v>17</v>
      </c>
      <c r="F70">
        <v>2194</v>
      </c>
      <c r="G70">
        <v>1</v>
      </c>
      <c r="H70" t="s">
        <v>18</v>
      </c>
      <c r="I70">
        <v>3</v>
      </c>
      <c r="J70" t="s">
        <v>18</v>
      </c>
      <c r="K70">
        <f>IF($J70="Yes",1,0)</f>
        <v>0</v>
      </c>
    </row>
    <row r="71" spans="1:11">
      <c r="A71">
        <v>90</v>
      </c>
      <c r="B71">
        <v>36</v>
      </c>
      <c r="C71" t="s">
        <v>15</v>
      </c>
      <c r="D71" t="s">
        <v>16</v>
      </c>
      <c r="E71" t="s">
        <v>17</v>
      </c>
      <c r="F71">
        <v>3388</v>
      </c>
      <c r="G71">
        <v>3</v>
      </c>
      <c r="H71" t="s">
        <v>14</v>
      </c>
      <c r="I71">
        <v>1</v>
      </c>
      <c r="J71" t="s">
        <v>14</v>
      </c>
      <c r="K71">
        <f>IF($J71="Yes",1,0)</f>
        <v>1</v>
      </c>
    </row>
    <row r="72" spans="1:11">
      <c r="A72">
        <v>91</v>
      </c>
      <c r="B72">
        <v>59</v>
      </c>
      <c r="C72" t="s">
        <v>11</v>
      </c>
      <c r="D72" t="s">
        <v>12</v>
      </c>
      <c r="E72" t="s">
        <v>13</v>
      </c>
      <c r="F72">
        <v>5473</v>
      </c>
      <c r="G72">
        <v>3</v>
      </c>
      <c r="H72" t="s">
        <v>18</v>
      </c>
      <c r="I72">
        <v>4</v>
      </c>
      <c r="J72" t="s">
        <v>18</v>
      </c>
      <c r="K72">
        <f>IF($J72="Yes",1,0)</f>
        <v>0</v>
      </c>
    </row>
    <row r="73" spans="1:11">
      <c r="A73">
        <v>94</v>
      </c>
      <c r="B73">
        <v>29</v>
      </c>
      <c r="C73" t="s">
        <v>15</v>
      </c>
      <c r="D73" t="s">
        <v>16</v>
      </c>
      <c r="E73" t="s">
        <v>17</v>
      </c>
      <c r="F73">
        <v>2703</v>
      </c>
      <c r="G73">
        <v>2</v>
      </c>
      <c r="H73" t="s">
        <v>18</v>
      </c>
      <c r="I73">
        <v>5</v>
      </c>
      <c r="J73" t="s">
        <v>18</v>
      </c>
      <c r="K73">
        <f>IF($J73="Yes",1,0)</f>
        <v>0</v>
      </c>
    </row>
    <row r="74" spans="1:11">
      <c r="A74">
        <v>95</v>
      </c>
      <c r="B74">
        <v>31</v>
      </c>
      <c r="C74" t="s">
        <v>15</v>
      </c>
      <c r="D74" t="s">
        <v>16</v>
      </c>
      <c r="E74" t="s">
        <v>17</v>
      </c>
      <c r="F74">
        <v>2501</v>
      </c>
      <c r="G74">
        <v>2</v>
      </c>
      <c r="H74" t="s">
        <v>18</v>
      </c>
      <c r="I74">
        <v>1</v>
      </c>
      <c r="J74" t="s">
        <v>18</v>
      </c>
      <c r="K74">
        <f>IF($J74="Yes",1,0)</f>
        <v>0</v>
      </c>
    </row>
    <row r="75" spans="1:11">
      <c r="A75">
        <v>96</v>
      </c>
      <c r="B75">
        <v>32</v>
      </c>
      <c r="C75" t="s">
        <v>15</v>
      </c>
      <c r="D75" t="s">
        <v>16</v>
      </c>
      <c r="E75" t="s">
        <v>17</v>
      </c>
      <c r="F75">
        <v>6220</v>
      </c>
      <c r="G75">
        <v>2</v>
      </c>
      <c r="H75" t="s">
        <v>18</v>
      </c>
      <c r="I75">
        <v>10</v>
      </c>
      <c r="J75" t="s">
        <v>18</v>
      </c>
      <c r="K75">
        <f>IF($J75="Yes",1,0)</f>
        <v>0</v>
      </c>
    </row>
    <row r="76" spans="1:11">
      <c r="A76">
        <v>97</v>
      </c>
      <c r="B76">
        <v>36</v>
      </c>
      <c r="C76" t="s">
        <v>11</v>
      </c>
      <c r="D76" t="s">
        <v>16</v>
      </c>
      <c r="E76" t="s">
        <v>19</v>
      </c>
      <c r="F76">
        <v>3038</v>
      </c>
      <c r="G76">
        <v>4</v>
      </c>
      <c r="H76" t="s">
        <v>18</v>
      </c>
      <c r="I76">
        <v>1</v>
      </c>
      <c r="J76" t="s">
        <v>18</v>
      </c>
      <c r="K76">
        <f>IF($J76="Yes",1,0)</f>
        <v>0</v>
      </c>
    </row>
    <row r="77" spans="1:11">
      <c r="A77">
        <v>98</v>
      </c>
      <c r="B77">
        <v>31</v>
      </c>
      <c r="C77" t="s">
        <v>11</v>
      </c>
      <c r="D77" t="s">
        <v>16</v>
      </c>
      <c r="E77" t="s">
        <v>20</v>
      </c>
      <c r="F77">
        <v>4424</v>
      </c>
      <c r="G77">
        <v>4</v>
      </c>
      <c r="H77" t="s">
        <v>18</v>
      </c>
      <c r="I77">
        <v>11</v>
      </c>
      <c r="J77" t="s">
        <v>18</v>
      </c>
      <c r="K77">
        <f>IF($J77="Yes",1,0)</f>
        <v>0</v>
      </c>
    </row>
    <row r="78" spans="1:11">
      <c r="A78">
        <v>100</v>
      </c>
      <c r="B78">
        <v>35</v>
      </c>
      <c r="C78" t="s">
        <v>15</v>
      </c>
      <c r="D78" t="s">
        <v>12</v>
      </c>
      <c r="E78" t="s">
        <v>13</v>
      </c>
      <c r="F78">
        <v>4312</v>
      </c>
      <c r="G78">
        <v>1</v>
      </c>
      <c r="H78" t="s">
        <v>18</v>
      </c>
      <c r="I78">
        <v>15</v>
      </c>
      <c r="J78" t="s">
        <v>18</v>
      </c>
      <c r="K78">
        <f>IF($J78="Yes",1,0)</f>
        <v>0</v>
      </c>
    </row>
    <row r="79" spans="1:11">
      <c r="A79">
        <v>101</v>
      </c>
      <c r="B79">
        <v>45</v>
      </c>
      <c r="C79" t="s">
        <v>15</v>
      </c>
      <c r="D79" t="s">
        <v>16</v>
      </c>
      <c r="E79" t="s">
        <v>24</v>
      </c>
      <c r="F79">
        <v>13245</v>
      </c>
      <c r="G79">
        <v>1</v>
      </c>
      <c r="H79" t="s">
        <v>14</v>
      </c>
      <c r="I79">
        <v>0</v>
      </c>
      <c r="J79" t="s">
        <v>18</v>
      </c>
      <c r="K79">
        <f>IF($J79="Yes",1,0)</f>
        <v>0</v>
      </c>
    </row>
    <row r="80" spans="1:11">
      <c r="A80">
        <v>102</v>
      </c>
      <c r="B80">
        <v>37</v>
      </c>
      <c r="C80" t="s">
        <v>15</v>
      </c>
      <c r="D80" t="s">
        <v>16</v>
      </c>
      <c r="E80" t="s">
        <v>24</v>
      </c>
      <c r="F80">
        <v>13664</v>
      </c>
      <c r="G80">
        <v>3</v>
      </c>
      <c r="H80" t="s">
        <v>18</v>
      </c>
      <c r="I80">
        <v>5</v>
      </c>
      <c r="J80" t="s">
        <v>18</v>
      </c>
      <c r="K80">
        <f>IF($J80="Yes",1,0)</f>
        <v>0</v>
      </c>
    </row>
    <row r="81" spans="1:11">
      <c r="A81">
        <v>103</v>
      </c>
      <c r="B81">
        <v>46</v>
      </c>
      <c r="C81" t="s">
        <v>15</v>
      </c>
      <c r="D81" t="s">
        <v>25</v>
      </c>
      <c r="E81" t="s">
        <v>25</v>
      </c>
      <c r="F81">
        <v>5021</v>
      </c>
      <c r="G81">
        <v>2</v>
      </c>
      <c r="H81" t="s">
        <v>14</v>
      </c>
      <c r="I81">
        <v>4</v>
      </c>
      <c r="J81" t="s">
        <v>18</v>
      </c>
      <c r="K81">
        <f>IF($J81="Yes",1,0)</f>
        <v>0</v>
      </c>
    </row>
    <row r="82" spans="1:11">
      <c r="A82">
        <v>104</v>
      </c>
      <c r="B82">
        <v>30</v>
      </c>
      <c r="C82" t="s">
        <v>15</v>
      </c>
      <c r="D82" t="s">
        <v>16</v>
      </c>
      <c r="E82" t="s">
        <v>19</v>
      </c>
      <c r="F82">
        <v>5126</v>
      </c>
      <c r="G82">
        <v>4</v>
      </c>
      <c r="H82" t="s">
        <v>14</v>
      </c>
      <c r="I82">
        <v>10</v>
      </c>
      <c r="J82" t="s">
        <v>18</v>
      </c>
      <c r="K82">
        <f>IF($J82="Yes",1,0)</f>
        <v>0</v>
      </c>
    </row>
    <row r="83" spans="1:11">
      <c r="A83">
        <v>105</v>
      </c>
      <c r="B83">
        <v>35</v>
      </c>
      <c r="C83" t="s">
        <v>15</v>
      </c>
      <c r="D83" t="s">
        <v>16</v>
      </c>
      <c r="E83" t="s">
        <v>17</v>
      </c>
      <c r="F83">
        <v>2859</v>
      </c>
      <c r="G83">
        <v>3</v>
      </c>
      <c r="H83" t="s">
        <v>18</v>
      </c>
      <c r="I83">
        <v>6</v>
      </c>
      <c r="J83" t="s">
        <v>18</v>
      </c>
      <c r="K83">
        <f>IF($J83="Yes",1,0)</f>
        <v>0</v>
      </c>
    </row>
    <row r="84" spans="1:11">
      <c r="A84">
        <v>106</v>
      </c>
      <c r="B84">
        <v>55</v>
      </c>
      <c r="C84" t="s">
        <v>15</v>
      </c>
      <c r="D84" t="s">
        <v>12</v>
      </c>
      <c r="E84" t="s">
        <v>13</v>
      </c>
      <c r="F84">
        <v>10239</v>
      </c>
      <c r="G84">
        <v>4</v>
      </c>
      <c r="H84" t="s">
        <v>18</v>
      </c>
      <c r="I84">
        <v>1</v>
      </c>
      <c r="J84" t="s">
        <v>18</v>
      </c>
      <c r="K84">
        <f>IF($J84="Yes",1,0)</f>
        <v>0</v>
      </c>
    </row>
    <row r="85" spans="1:11">
      <c r="A85">
        <v>107</v>
      </c>
      <c r="B85">
        <v>38</v>
      </c>
      <c r="C85" t="s">
        <v>11</v>
      </c>
      <c r="D85" t="s">
        <v>16</v>
      </c>
      <c r="E85" t="s">
        <v>17</v>
      </c>
      <c r="F85">
        <v>5329</v>
      </c>
      <c r="G85">
        <v>4</v>
      </c>
      <c r="H85" t="s">
        <v>14</v>
      </c>
      <c r="I85">
        <v>13</v>
      </c>
      <c r="J85" t="s">
        <v>18</v>
      </c>
      <c r="K85">
        <f>IF($J85="Yes",1,0)</f>
        <v>0</v>
      </c>
    </row>
    <row r="86" spans="1:11">
      <c r="A86">
        <v>110</v>
      </c>
      <c r="B86">
        <v>34</v>
      </c>
      <c r="C86" t="s">
        <v>15</v>
      </c>
      <c r="D86" t="s">
        <v>16</v>
      </c>
      <c r="E86" t="s">
        <v>20</v>
      </c>
      <c r="F86">
        <v>4325</v>
      </c>
      <c r="G86">
        <v>2</v>
      </c>
      <c r="H86" t="s">
        <v>18</v>
      </c>
      <c r="I86">
        <v>5</v>
      </c>
      <c r="J86" t="s">
        <v>18</v>
      </c>
      <c r="K86">
        <f>IF($J86="Yes",1,0)</f>
        <v>0</v>
      </c>
    </row>
    <row r="87" spans="1:11">
      <c r="A87">
        <v>112</v>
      </c>
      <c r="B87">
        <v>56</v>
      </c>
      <c r="C87" t="s">
        <v>15</v>
      </c>
      <c r="D87" t="s">
        <v>16</v>
      </c>
      <c r="E87" t="s">
        <v>20</v>
      </c>
      <c r="F87">
        <v>7260</v>
      </c>
      <c r="G87">
        <v>4</v>
      </c>
      <c r="H87" t="s">
        <v>18</v>
      </c>
      <c r="I87">
        <v>6</v>
      </c>
      <c r="J87" t="s">
        <v>18</v>
      </c>
      <c r="K87">
        <f>IF($J87="Yes",1,0)</f>
        <v>0</v>
      </c>
    </row>
    <row r="88" spans="1:11">
      <c r="A88">
        <v>113</v>
      </c>
      <c r="B88">
        <v>23</v>
      </c>
      <c r="C88" t="s">
        <v>15</v>
      </c>
      <c r="D88" t="s">
        <v>12</v>
      </c>
      <c r="E88" t="s">
        <v>23</v>
      </c>
      <c r="F88">
        <v>2322</v>
      </c>
      <c r="G88">
        <v>1</v>
      </c>
      <c r="H88" t="s">
        <v>18</v>
      </c>
      <c r="I88">
        <v>0</v>
      </c>
      <c r="J88" t="s">
        <v>18</v>
      </c>
      <c r="K88">
        <f>IF($J88="Yes",1,0)</f>
        <v>0</v>
      </c>
    </row>
    <row r="89" spans="1:11">
      <c r="A89">
        <v>116</v>
      </c>
      <c r="B89">
        <v>51</v>
      </c>
      <c r="C89" t="s">
        <v>15</v>
      </c>
      <c r="D89" t="s">
        <v>16</v>
      </c>
      <c r="E89" t="s">
        <v>19</v>
      </c>
      <c r="F89">
        <v>2075</v>
      </c>
      <c r="G89">
        <v>4</v>
      </c>
      <c r="H89" t="s">
        <v>18</v>
      </c>
      <c r="I89">
        <v>4</v>
      </c>
      <c r="J89" t="s">
        <v>18</v>
      </c>
      <c r="K89">
        <f>IF($J89="Yes",1,0)</f>
        <v>0</v>
      </c>
    </row>
    <row r="90" spans="1:11">
      <c r="A90">
        <v>117</v>
      </c>
      <c r="B90">
        <v>30</v>
      </c>
      <c r="C90" t="s">
        <v>15</v>
      </c>
      <c r="D90" t="s">
        <v>16</v>
      </c>
      <c r="E90" t="s">
        <v>21</v>
      </c>
      <c r="F90">
        <v>4152</v>
      </c>
      <c r="G90">
        <v>4</v>
      </c>
      <c r="H90" t="s">
        <v>18</v>
      </c>
      <c r="I90">
        <v>11</v>
      </c>
      <c r="J90" t="s">
        <v>18</v>
      </c>
      <c r="K90">
        <f>IF($J90="Yes",1,0)</f>
        <v>0</v>
      </c>
    </row>
    <row r="91" spans="1:11">
      <c r="A91">
        <v>118</v>
      </c>
      <c r="B91">
        <v>46</v>
      </c>
      <c r="C91" t="s">
        <v>15</v>
      </c>
      <c r="D91" t="s">
        <v>12</v>
      </c>
      <c r="E91" t="s">
        <v>13</v>
      </c>
      <c r="F91">
        <v>9619</v>
      </c>
      <c r="G91">
        <v>4</v>
      </c>
      <c r="H91" t="s">
        <v>18</v>
      </c>
      <c r="I91">
        <v>9</v>
      </c>
      <c r="J91" t="s">
        <v>14</v>
      </c>
      <c r="K91">
        <f>IF($J91="Yes",1,0)</f>
        <v>1</v>
      </c>
    </row>
    <row r="92" spans="1:11">
      <c r="A92">
        <v>119</v>
      </c>
      <c r="B92">
        <v>40</v>
      </c>
      <c r="C92" t="s">
        <v>15</v>
      </c>
      <c r="D92" t="s">
        <v>16</v>
      </c>
      <c r="E92" t="s">
        <v>21</v>
      </c>
      <c r="F92">
        <v>13503</v>
      </c>
      <c r="G92">
        <v>2</v>
      </c>
      <c r="H92" t="s">
        <v>18</v>
      </c>
      <c r="I92">
        <v>22</v>
      </c>
      <c r="J92" t="s">
        <v>18</v>
      </c>
      <c r="K92">
        <f>IF($J92="Yes",1,0)</f>
        <v>0</v>
      </c>
    </row>
    <row r="93" spans="1:11">
      <c r="A93">
        <v>120</v>
      </c>
      <c r="B93">
        <v>51</v>
      </c>
      <c r="C93" t="s">
        <v>15</v>
      </c>
      <c r="D93" t="s">
        <v>12</v>
      </c>
      <c r="E93" t="s">
        <v>13</v>
      </c>
      <c r="F93">
        <v>5441</v>
      </c>
      <c r="G93">
        <v>4</v>
      </c>
      <c r="H93" t="s">
        <v>14</v>
      </c>
      <c r="I93">
        <v>10</v>
      </c>
      <c r="J93" t="s">
        <v>18</v>
      </c>
      <c r="K93">
        <f>IF($J93="Yes",1,0)</f>
        <v>0</v>
      </c>
    </row>
    <row r="94" spans="1:11">
      <c r="A94">
        <v>121</v>
      </c>
      <c r="B94">
        <v>30</v>
      </c>
      <c r="C94" t="s">
        <v>11</v>
      </c>
      <c r="D94" t="s">
        <v>12</v>
      </c>
      <c r="E94" t="s">
        <v>13</v>
      </c>
      <c r="F94">
        <v>5209</v>
      </c>
      <c r="G94">
        <v>2</v>
      </c>
      <c r="H94" t="s">
        <v>14</v>
      </c>
      <c r="I94">
        <v>11</v>
      </c>
      <c r="J94" t="s">
        <v>18</v>
      </c>
      <c r="K94">
        <f>IF($J94="Yes",1,0)</f>
        <v>0</v>
      </c>
    </row>
    <row r="95" spans="1:11">
      <c r="A95">
        <v>124</v>
      </c>
      <c r="B95">
        <v>46</v>
      </c>
      <c r="C95" t="s">
        <v>15</v>
      </c>
      <c r="D95" t="s">
        <v>16</v>
      </c>
      <c r="E95" t="s">
        <v>21</v>
      </c>
      <c r="F95">
        <v>10673</v>
      </c>
      <c r="G95">
        <v>1</v>
      </c>
      <c r="H95" t="s">
        <v>14</v>
      </c>
      <c r="I95">
        <v>10</v>
      </c>
      <c r="J95" t="s">
        <v>18</v>
      </c>
      <c r="K95">
        <f>IF($J95="Yes",1,0)</f>
        <v>0</v>
      </c>
    </row>
    <row r="96" spans="1:11">
      <c r="A96">
        <v>125</v>
      </c>
      <c r="B96">
        <v>32</v>
      </c>
      <c r="C96" t="s">
        <v>15</v>
      </c>
      <c r="D96" t="s">
        <v>12</v>
      </c>
      <c r="E96" t="s">
        <v>13</v>
      </c>
      <c r="F96">
        <v>5010</v>
      </c>
      <c r="G96">
        <v>3</v>
      </c>
      <c r="H96" t="s">
        <v>18</v>
      </c>
      <c r="I96">
        <v>11</v>
      </c>
      <c r="J96" t="s">
        <v>18</v>
      </c>
      <c r="K96">
        <f>IF($J96="Yes",1,0)</f>
        <v>0</v>
      </c>
    </row>
    <row r="97" spans="1:11">
      <c r="A97">
        <v>126</v>
      </c>
      <c r="B97">
        <v>54</v>
      </c>
      <c r="C97" t="s">
        <v>11</v>
      </c>
      <c r="D97" t="s">
        <v>16</v>
      </c>
      <c r="E97" t="s">
        <v>24</v>
      </c>
      <c r="F97">
        <v>13549</v>
      </c>
      <c r="G97">
        <v>3</v>
      </c>
      <c r="H97" t="s">
        <v>18</v>
      </c>
      <c r="I97">
        <v>4</v>
      </c>
      <c r="J97" t="s">
        <v>18</v>
      </c>
      <c r="K97">
        <f>IF($J97="Yes",1,0)</f>
        <v>0</v>
      </c>
    </row>
    <row r="98" spans="1:11">
      <c r="A98">
        <v>128</v>
      </c>
      <c r="B98">
        <v>24</v>
      </c>
      <c r="C98" t="s">
        <v>11</v>
      </c>
      <c r="D98" t="s">
        <v>12</v>
      </c>
      <c r="E98" t="s">
        <v>13</v>
      </c>
      <c r="F98">
        <v>4999</v>
      </c>
      <c r="G98">
        <v>3</v>
      </c>
      <c r="H98" t="s">
        <v>18</v>
      </c>
      <c r="I98">
        <v>3</v>
      </c>
      <c r="J98" t="s">
        <v>18</v>
      </c>
      <c r="K98">
        <f>IF($J98="Yes",1,0)</f>
        <v>0</v>
      </c>
    </row>
    <row r="99" spans="1:11">
      <c r="A99">
        <v>129</v>
      </c>
      <c r="B99">
        <v>28</v>
      </c>
      <c r="C99" t="s">
        <v>15</v>
      </c>
      <c r="D99" t="s">
        <v>12</v>
      </c>
      <c r="E99" t="s">
        <v>13</v>
      </c>
      <c r="F99">
        <v>4221</v>
      </c>
      <c r="G99">
        <v>3</v>
      </c>
      <c r="H99" t="s">
        <v>18</v>
      </c>
      <c r="I99">
        <v>5</v>
      </c>
      <c r="J99" t="s">
        <v>18</v>
      </c>
      <c r="K99">
        <f>IF($J99="Yes",1,0)</f>
        <v>0</v>
      </c>
    </row>
    <row r="100" spans="1:11">
      <c r="A100">
        <v>131</v>
      </c>
      <c r="B100">
        <v>58</v>
      </c>
      <c r="C100" t="s">
        <v>15</v>
      </c>
      <c r="D100" t="s">
        <v>12</v>
      </c>
      <c r="E100" t="s">
        <v>13</v>
      </c>
      <c r="F100">
        <v>13872</v>
      </c>
      <c r="G100">
        <v>3</v>
      </c>
      <c r="H100" t="s">
        <v>18</v>
      </c>
      <c r="I100">
        <v>37</v>
      </c>
      <c r="J100" t="s">
        <v>18</v>
      </c>
      <c r="K100">
        <f>IF($J100="Yes",1,0)</f>
        <v>0</v>
      </c>
    </row>
    <row r="101" spans="1:11">
      <c r="A101">
        <v>132</v>
      </c>
      <c r="B101">
        <v>44</v>
      </c>
      <c r="C101" t="s">
        <v>15</v>
      </c>
      <c r="D101" t="s">
        <v>16</v>
      </c>
      <c r="E101" t="s">
        <v>19</v>
      </c>
      <c r="F101">
        <v>2042</v>
      </c>
      <c r="G101">
        <v>2</v>
      </c>
      <c r="H101" t="s">
        <v>18</v>
      </c>
      <c r="I101">
        <v>3</v>
      </c>
      <c r="J101" t="s">
        <v>18</v>
      </c>
      <c r="K101">
        <f>IF($J101="Yes",1,0)</f>
        <v>0</v>
      </c>
    </row>
    <row r="102" spans="1:11">
      <c r="A102">
        <v>133</v>
      </c>
      <c r="B102">
        <v>37</v>
      </c>
      <c r="C102" t="s">
        <v>15</v>
      </c>
      <c r="D102" t="s">
        <v>25</v>
      </c>
      <c r="E102" t="s">
        <v>25</v>
      </c>
      <c r="F102">
        <v>2073</v>
      </c>
      <c r="G102">
        <v>1</v>
      </c>
      <c r="H102" t="s">
        <v>14</v>
      </c>
      <c r="I102">
        <v>3</v>
      </c>
      <c r="J102" t="s">
        <v>14</v>
      </c>
      <c r="K102">
        <f>IF($J102="Yes",1,0)</f>
        <v>1</v>
      </c>
    </row>
    <row r="103" spans="1:11">
      <c r="A103">
        <v>134</v>
      </c>
      <c r="B103">
        <v>32</v>
      </c>
      <c r="C103" t="s">
        <v>15</v>
      </c>
      <c r="D103" t="s">
        <v>16</v>
      </c>
      <c r="E103" t="s">
        <v>17</v>
      </c>
      <c r="F103">
        <v>2956</v>
      </c>
      <c r="G103">
        <v>1</v>
      </c>
      <c r="H103" t="s">
        <v>18</v>
      </c>
      <c r="I103">
        <v>1</v>
      </c>
      <c r="J103" t="s">
        <v>18</v>
      </c>
      <c r="K103">
        <f>IF($J103="Yes",1,0)</f>
        <v>0</v>
      </c>
    </row>
    <row r="104" spans="1:11">
      <c r="A104">
        <v>137</v>
      </c>
      <c r="B104">
        <v>20</v>
      </c>
      <c r="C104" t="s">
        <v>11</v>
      </c>
      <c r="D104" t="s">
        <v>16</v>
      </c>
      <c r="E104" t="s">
        <v>19</v>
      </c>
      <c r="F104">
        <v>2926</v>
      </c>
      <c r="G104">
        <v>4</v>
      </c>
      <c r="H104" t="s">
        <v>14</v>
      </c>
      <c r="I104">
        <v>1</v>
      </c>
      <c r="J104" t="s">
        <v>14</v>
      </c>
      <c r="K104">
        <f>IF($J104="Yes",1,0)</f>
        <v>1</v>
      </c>
    </row>
    <row r="105" spans="1:11">
      <c r="A105">
        <v>138</v>
      </c>
      <c r="B105">
        <v>34</v>
      </c>
      <c r="C105" t="s">
        <v>11</v>
      </c>
      <c r="D105" t="s">
        <v>16</v>
      </c>
      <c r="E105" t="s">
        <v>17</v>
      </c>
      <c r="F105">
        <v>4809</v>
      </c>
      <c r="G105">
        <v>3</v>
      </c>
      <c r="H105" t="s">
        <v>18</v>
      </c>
      <c r="I105">
        <v>16</v>
      </c>
      <c r="J105" t="s">
        <v>18</v>
      </c>
      <c r="K105">
        <f>IF($J105="Yes",1,0)</f>
        <v>0</v>
      </c>
    </row>
    <row r="106" spans="1:11">
      <c r="A106">
        <v>139</v>
      </c>
      <c r="B106">
        <v>37</v>
      </c>
      <c r="C106" t="s">
        <v>15</v>
      </c>
      <c r="D106" t="s">
        <v>16</v>
      </c>
      <c r="E106" t="s">
        <v>21</v>
      </c>
      <c r="F106">
        <v>5163</v>
      </c>
      <c r="G106">
        <v>4</v>
      </c>
      <c r="H106" t="s">
        <v>18</v>
      </c>
      <c r="I106">
        <v>1</v>
      </c>
      <c r="J106" t="s">
        <v>18</v>
      </c>
      <c r="K106">
        <f>IF($J106="Yes",1,0)</f>
        <v>0</v>
      </c>
    </row>
    <row r="107" spans="1:11">
      <c r="A107">
        <v>140</v>
      </c>
      <c r="B107">
        <v>59</v>
      </c>
      <c r="C107" t="s">
        <v>11</v>
      </c>
      <c r="D107" t="s">
        <v>25</v>
      </c>
      <c r="E107" t="s">
        <v>22</v>
      </c>
      <c r="F107">
        <v>18844</v>
      </c>
      <c r="G107">
        <v>4</v>
      </c>
      <c r="H107" t="s">
        <v>18</v>
      </c>
      <c r="I107">
        <v>3</v>
      </c>
      <c r="J107" t="s">
        <v>18</v>
      </c>
      <c r="K107">
        <f>IF($J107="Yes",1,0)</f>
        <v>0</v>
      </c>
    </row>
    <row r="108" spans="1:11">
      <c r="A108">
        <v>141</v>
      </c>
      <c r="B108">
        <v>50</v>
      </c>
      <c r="C108" t="s">
        <v>11</v>
      </c>
      <c r="D108" t="s">
        <v>16</v>
      </c>
      <c r="E108" t="s">
        <v>24</v>
      </c>
      <c r="F108">
        <v>18172</v>
      </c>
      <c r="G108">
        <v>2</v>
      </c>
      <c r="H108" t="s">
        <v>14</v>
      </c>
      <c r="I108">
        <v>8</v>
      </c>
      <c r="J108" t="s">
        <v>18</v>
      </c>
      <c r="K108">
        <f>IF($J108="Yes",1,0)</f>
        <v>0</v>
      </c>
    </row>
    <row r="109" spans="1:11">
      <c r="A109">
        <v>142</v>
      </c>
      <c r="B109">
        <v>25</v>
      </c>
      <c r="C109" t="s">
        <v>15</v>
      </c>
      <c r="D109" t="s">
        <v>12</v>
      </c>
      <c r="E109" t="s">
        <v>13</v>
      </c>
      <c r="F109">
        <v>5744</v>
      </c>
      <c r="G109">
        <v>3</v>
      </c>
      <c r="H109" t="s">
        <v>14</v>
      </c>
      <c r="I109">
        <v>6</v>
      </c>
      <c r="J109" t="s">
        <v>14</v>
      </c>
      <c r="K109">
        <f>IF($J109="Yes",1,0)</f>
        <v>1</v>
      </c>
    </row>
    <row r="110" spans="1:11">
      <c r="A110">
        <v>143</v>
      </c>
      <c r="B110">
        <v>25</v>
      </c>
      <c r="C110" t="s">
        <v>15</v>
      </c>
      <c r="D110" t="s">
        <v>16</v>
      </c>
      <c r="E110" t="s">
        <v>17</v>
      </c>
      <c r="F110">
        <v>2889</v>
      </c>
      <c r="G110">
        <v>4</v>
      </c>
      <c r="H110" t="s">
        <v>18</v>
      </c>
      <c r="I110">
        <v>2</v>
      </c>
      <c r="J110" t="s">
        <v>18</v>
      </c>
      <c r="K110">
        <f>IF($J110="Yes",1,0)</f>
        <v>0</v>
      </c>
    </row>
    <row r="111" spans="1:11">
      <c r="A111">
        <v>144</v>
      </c>
      <c r="B111">
        <v>22</v>
      </c>
      <c r="C111" t="s">
        <v>11</v>
      </c>
      <c r="D111" t="s">
        <v>16</v>
      </c>
      <c r="E111" t="s">
        <v>19</v>
      </c>
      <c r="F111">
        <v>2871</v>
      </c>
      <c r="G111">
        <v>4</v>
      </c>
      <c r="H111" t="s">
        <v>18</v>
      </c>
      <c r="I111">
        <v>0</v>
      </c>
      <c r="J111" t="s">
        <v>18</v>
      </c>
      <c r="K111">
        <f>IF($J111="Yes",1,0)</f>
        <v>0</v>
      </c>
    </row>
    <row r="112" spans="1:11">
      <c r="A112">
        <v>145</v>
      </c>
      <c r="B112">
        <v>51</v>
      </c>
      <c r="C112" t="s">
        <v>11</v>
      </c>
      <c r="D112" t="s">
        <v>16</v>
      </c>
      <c r="E112" t="s">
        <v>21</v>
      </c>
      <c r="F112">
        <v>7484</v>
      </c>
      <c r="G112">
        <v>1</v>
      </c>
      <c r="H112" t="s">
        <v>18</v>
      </c>
      <c r="I112">
        <v>13</v>
      </c>
      <c r="J112" t="s">
        <v>18</v>
      </c>
      <c r="K112">
        <f>IF($J112="Yes",1,0)</f>
        <v>0</v>
      </c>
    </row>
    <row r="113" spans="1:11">
      <c r="A113">
        <v>147</v>
      </c>
      <c r="B113">
        <v>34</v>
      </c>
      <c r="C113" t="s">
        <v>15</v>
      </c>
      <c r="D113" t="s">
        <v>16</v>
      </c>
      <c r="E113" t="s">
        <v>19</v>
      </c>
      <c r="F113">
        <v>6074</v>
      </c>
      <c r="G113">
        <v>3</v>
      </c>
      <c r="H113" t="s">
        <v>14</v>
      </c>
      <c r="I113">
        <v>9</v>
      </c>
      <c r="J113" t="s">
        <v>14</v>
      </c>
      <c r="K113">
        <f>IF($J113="Yes",1,0)</f>
        <v>1</v>
      </c>
    </row>
    <row r="114" spans="1:11">
      <c r="A114">
        <v>148</v>
      </c>
      <c r="B114">
        <v>54</v>
      </c>
      <c r="C114" t="s">
        <v>11</v>
      </c>
      <c r="D114" t="s">
        <v>25</v>
      </c>
      <c r="E114" t="s">
        <v>22</v>
      </c>
      <c r="F114">
        <v>17328</v>
      </c>
      <c r="G114">
        <v>4</v>
      </c>
      <c r="H114" t="s">
        <v>14</v>
      </c>
      <c r="I114">
        <v>5</v>
      </c>
      <c r="J114" t="s">
        <v>18</v>
      </c>
      <c r="K114">
        <f>IF($J114="Yes",1,0)</f>
        <v>0</v>
      </c>
    </row>
    <row r="115" spans="1:11">
      <c r="A115">
        <v>150</v>
      </c>
      <c r="B115">
        <v>24</v>
      </c>
      <c r="C115" t="s">
        <v>15</v>
      </c>
      <c r="D115" t="s">
        <v>16</v>
      </c>
      <c r="E115" t="s">
        <v>19</v>
      </c>
      <c r="F115">
        <v>2774</v>
      </c>
      <c r="G115">
        <v>3</v>
      </c>
      <c r="H115" t="s">
        <v>18</v>
      </c>
      <c r="I115">
        <v>5</v>
      </c>
      <c r="J115" t="s">
        <v>18</v>
      </c>
      <c r="K115">
        <f>IF($J115="Yes",1,0)</f>
        <v>0</v>
      </c>
    </row>
    <row r="116" spans="1:11">
      <c r="A116">
        <v>151</v>
      </c>
      <c r="B116">
        <v>34</v>
      </c>
      <c r="C116" t="s">
        <v>11</v>
      </c>
      <c r="D116" t="s">
        <v>16</v>
      </c>
      <c r="E116" t="s">
        <v>17</v>
      </c>
      <c r="F116">
        <v>4505</v>
      </c>
      <c r="G116">
        <v>2</v>
      </c>
      <c r="H116" t="s">
        <v>18</v>
      </c>
      <c r="I116">
        <v>1</v>
      </c>
      <c r="J116" t="s">
        <v>18</v>
      </c>
      <c r="K116">
        <f>IF($J116="Yes",1,0)</f>
        <v>0</v>
      </c>
    </row>
    <row r="117" spans="1:11">
      <c r="A117">
        <v>152</v>
      </c>
      <c r="B117">
        <v>37</v>
      </c>
      <c r="C117" t="s">
        <v>15</v>
      </c>
      <c r="D117" t="s">
        <v>12</v>
      </c>
      <c r="E117" t="s">
        <v>13</v>
      </c>
      <c r="F117">
        <v>7428</v>
      </c>
      <c r="G117">
        <v>4</v>
      </c>
      <c r="H117" t="s">
        <v>18</v>
      </c>
      <c r="I117">
        <v>5</v>
      </c>
      <c r="J117" t="s">
        <v>18</v>
      </c>
      <c r="K117">
        <f>IF($J117="Yes",1,0)</f>
        <v>0</v>
      </c>
    </row>
    <row r="118" spans="1:11">
      <c r="A118">
        <v>153</v>
      </c>
      <c r="B118">
        <v>34</v>
      </c>
      <c r="C118" t="s">
        <v>11</v>
      </c>
      <c r="D118" t="s">
        <v>16</v>
      </c>
      <c r="E118" t="s">
        <v>22</v>
      </c>
      <c r="F118">
        <v>11631</v>
      </c>
      <c r="G118">
        <v>1</v>
      </c>
      <c r="H118" t="s">
        <v>18</v>
      </c>
      <c r="I118">
        <v>11</v>
      </c>
      <c r="J118" t="s">
        <v>18</v>
      </c>
      <c r="K118">
        <f>IF($J118="Yes",1,0)</f>
        <v>0</v>
      </c>
    </row>
    <row r="119" spans="1:11">
      <c r="A119">
        <v>154</v>
      </c>
      <c r="B119">
        <v>36</v>
      </c>
      <c r="C119" t="s">
        <v>11</v>
      </c>
      <c r="D119" t="s">
        <v>12</v>
      </c>
      <c r="E119" t="s">
        <v>13</v>
      </c>
      <c r="F119">
        <v>9738</v>
      </c>
      <c r="G119">
        <v>4</v>
      </c>
      <c r="H119" t="s">
        <v>18</v>
      </c>
      <c r="I119">
        <v>9</v>
      </c>
      <c r="J119" t="s">
        <v>18</v>
      </c>
      <c r="K119">
        <f>IF($J119="Yes",1,0)</f>
        <v>0</v>
      </c>
    </row>
    <row r="120" spans="1:11">
      <c r="A120">
        <v>155</v>
      </c>
      <c r="B120">
        <v>36</v>
      </c>
      <c r="C120" t="s">
        <v>11</v>
      </c>
      <c r="D120" t="s">
        <v>16</v>
      </c>
      <c r="E120" t="s">
        <v>19</v>
      </c>
      <c r="F120">
        <v>2835</v>
      </c>
      <c r="G120">
        <v>4</v>
      </c>
      <c r="H120" t="s">
        <v>18</v>
      </c>
      <c r="I120">
        <v>1</v>
      </c>
      <c r="J120" t="s">
        <v>18</v>
      </c>
      <c r="K120">
        <f>IF($J120="Yes",1,0)</f>
        <v>0</v>
      </c>
    </row>
    <row r="121" spans="1:11">
      <c r="A121">
        <v>158</v>
      </c>
      <c r="B121">
        <v>43</v>
      </c>
      <c r="C121" t="s">
        <v>15</v>
      </c>
      <c r="D121" t="s">
        <v>12</v>
      </c>
      <c r="E121" t="s">
        <v>22</v>
      </c>
      <c r="F121">
        <v>16959</v>
      </c>
      <c r="G121">
        <v>4</v>
      </c>
      <c r="H121" t="s">
        <v>14</v>
      </c>
      <c r="I121">
        <v>25</v>
      </c>
      <c r="J121" t="s">
        <v>18</v>
      </c>
      <c r="K121">
        <f>IF($J121="Yes",1,0)</f>
        <v>0</v>
      </c>
    </row>
    <row r="122" spans="1:11">
      <c r="A122">
        <v>159</v>
      </c>
      <c r="B122">
        <v>30</v>
      </c>
      <c r="C122" t="s">
        <v>15</v>
      </c>
      <c r="D122" t="s">
        <v>16</v>
      </c>
      <c r="E122" t="s">
        <v>17</v>
      </c>
      <c r="F122">
        <v>2613</v>
      </c>
      <c r="G122">
        <v>3</v>
      </c>
      <c r="H122" t="s">
        <v>18</v>
      </c>
      <c r="I122">
        <v>10</v>
      </c>
      <c r="J122" t="s">
        <v>18</v>
      </c>
      <c r="K122">
        <f>IF($J122="Yes",1,0)</f>
        <v>0</v>
      </c>
    </row>
    <row r="123" spans="1:11">
      <c r="A123">
        <v>160</v>
      </c>
      <c r="B123">
        <v>33</v>
      </c>
      <c r="C123" t="s">
        <v>15</v>
      </c>
      <c r="D123" t="s">
        <v>12</v>
      </c>
      <c r="E123" t="s">
        <v>13</v>
      </c>
      <c r="F123">
        <v>6146</v>
      </c>
      <c r="G123">
        <v>2</v>
      </c>
      <c r="H123" t="s">
        <v>18</v>
      </c>
      <c r="I123">
        <v>7</v>
      </c>
      <c r="J123" t="s">
        <v>18</v>
      </c>
      <c r="K123">
        <f>IF($J123="Yes",1,0)</f>
        <v>0</v>
      </c>
    </row>
    <row r="124" spans="1:11">
      <c r="A124">
        <v>161</v>
      </c>
      <c r="B124">
        <v>56</v>
      </c>
      <c r="C124" t="s">
        <v>11</v>
      </c>
      <c r="D124" t="s">
        <v>16</v>
      </c>
      <c r="E124" t="s">
        <v>17</v>
      </c>
      <c r="F124">
        <v>4963</v>
      </c>
      <c r="G124">
        <v>2</v>
      </c>
      <c r="H124" t="s">
        <v>14</v>
      </c>
      <c r="I124">
        <v>5</v>
      </c>
      <c r="J124" t="s">
        <v>14</v>
      </c>
      <c r="K124">
        <f>IF($J124="Yes",1,0)</f>
        <v>1</v>
      </c>
    </row>
    <row r="125" spans="1:11">
      <c r="A125">
        <v>162</v>
      </c>
      <c r="B125">
        <v>51</v>
      </c>
      <c r="C125" t="s">
        <v>15</v>
      </c>
      <c r="D125" t="s">
        <v>16</v>
      </c>
      <c r="E125" t="s">
        <v>24</v>
      </c>
      <c r="F125">
        <v>19537</v>
      </c>
      <c r="G125">
        <v>3</v>
      </c>
      <c r="H125" t="s">
        <v>18</v>
      </c>
      <c r="I125">
        <v>20</v>
      </c>
      <c r="J125" t="s">
        <v>18</v>
      </c>
      <c r="K125">
        <f>IF($J125="Yes",1,0)</f>
        <v>0</v>
      </c>
    </row>
    <row r="126" spans="1:11">
      <c r="A126">
        <v>163</v>
      </c>
      <c r="B126">
        <v>31</v>
      </c>
      <c r="C126" t="s">
        <v>15</v>
      </c>
      <c r="D126" t="s">
        <v>12</v>
      </c>
      <c r="E126" t="s">
        <v>13</v>
      </c>
      <c r="F126">
        <v>6172</v>
      </c>
      <c r="G126">
        <v>3</v>
      </c>
      <c r="H126" t="s">
        <v>14</v>
      </c>
      <c r="I126">
        <v>7</v>
      </c>
      <c r="J126" t="s">
        <v>14</v>
      </c>
      <c r="K126">
        <f>IF($J126="Yes",1,0)</f>
        <v>1</v>
      </c>
    </row>
    <row r="127" spans="1:11">
      <c r="A127">
        <v>164</v>
      </c>
      <c r="B127">
        <v>26</v>
      </c>
      <c r="C127" t="s">
        <v>11</v>
      </c>
      <c r="D127" t="s">
        <v>16</v>
      </c>
      <c r="E127" t="s">
        <v>17</v>
      </c>
      <c r="F127">
        <v>2368</v>
      </c>
      <c r="G127">
        <v>2</v>
      </c>
      <c r="H127" t="s">
        <v>18</v>
      </c>
      <c r="I127">
        <v>5</v>
      </c>
      <c r="J127" t="s">
        <v>18</v>
      </c>
      <c r="K127">
        <f>IF($J127="Yes",1,0)</f>
        <v>0</v>
      </c>
    </row>
    <row r="128" spans="1:11">
      <c r="A128">
        <v>165</v>
      </c>
      <c r="B128">
        <v>58</v>
      </c>
      <c r="C128" t="s">
        <v>11</v>
      </c>
      <c r="D128" t="s">
        <v>16</v>
      </c>
      <c r="E128" t="s">
        <v>21</v>
      </c>
      <c r="F128">
        <v>10312</v>
      </c>
      <c r="G128">
        <v>4</v>
      </c>
      <c r="H128" t="s">
        <v>18</v>
      </c>
      <c r="I128">
        <v>40</v>
      </c>
      <c r="J128" t="s">
        <v>14</v>
      </c>
      <c r="K128">
        <f>IF($J128="Yes",1,0)</f>
        <v>1</v>
      </c>
    </row>
    <row r="129" spans="1:11">
      <c r="A129">
        <v>167</v>
      </c>
      <c r="B129">
        <v>19</v>
      </c>
      <c r="C129" t="s">
        <v>15</v>
      </c>
      <c r="D129" t="s">
        <v>12</v>
      </c>
      <c r="E129" t="s">
        <v>23</v>
      </c>
      <c r="F129">
        <v>1675</v>
      </c>
      <c r="G129">
        <v>3</v>
      </c>
      <c r="H129" t="s">
        <v>14</v>
      </c>
      <c r="I129">
        <v>0</v>
      </c>
      <c r="J129" t="s">
        <v>14</v>
      </c>
      <c r="K129">
        <f>IF($J129="Yes",1,0)</f>
        <v>1</v>
      </c>
    </row>
    <row r="130" spans="1:11">
      <c r="A130">
        <v>169</v>
      </c>
      <c r="B130">
        <v>22</v>
      </c>
      <c r="C130" t="s">
        <v>15</v>
      </c>
      <c r="D130" t="s">
        <v>16</v>
      </c>
      <c r="E130" t="s">
        <v>19</v>
      </c>
      <c r="F130">
        <v>2523</v>
      </c>
      <c r="G130">
        <v>4</v>
      </c>
      <c r="H130" t="s">
        <v>18</v>
      </c>
      <c r="I130">
        <v>2</v>
      </c>
      <c r="J130" t="s">
        <v>18</v>
      </c>
      <c r="K130">
        <f>IF($J130="Yes",1,0)</f>
        <v>0</v>
      </c>
    </row>
    <row r="131" spans="1:11">
      <c r="A131">
        <v>170</v>
      </c>
      <c r="B131">
        <v>49</v>
      </c>
      <c r="C131" t="s">
        <v>11</v>
      </c>
      <c r="D131" t="s">
        <v>16</v>
      </c>
      <c r="E131" t="s">
        <v>20</v>
      </c>
      <c r="F131">
        <v>6567</v>
      </c>
      <c r="G131">
        <v>1</v>
      </c>
      <c r="H131" t="s">
        <v>18</v>
      </c>
      <c r="I131">
        <v>15</v>
      </c>
      <c r="J131" t="s">
        <v>18</v>
      </c>
      <c r="K131">
        <f>IF($J131="Yes",1,0)</f>
        <v>0</v>
      </c>
    </row>
    <row r="132" spans="1:11">
      <c r="A132">
        <v>171</v>
      </c>
      <c r="B132">
        <v>43</v>
      </c>
      <c r="C132" t="s">
        <v>11</v>
      </c>
      <c r="D132" t="s">
        <v>16</v>
      </c>
      <c r="E132" t="s">
        <v>17</v>
      </c>
      <c r="F132">
        <v>4739</v>
      </c>
      <c r="G132">
        <v>3</v>
      </c>
      <c r="H132" t="s">
        <v>18</v>
      </c>
      <c r="I132">
        <v>3</v>
      </c>
      <c r="J132" t="s">
        <v>18</v>
      </c>
      <c r="K132">
        <f>IF($J132="Yes",1,0)</f>
        <v>0</v>
      </c>
    </row>
    <row r="133" spans="1:11">
      <c r="A133">
        <v>174</v>
      </c>
      <c r="B133">
        <v>50</v>
      </c>
      <c r="C133" t="s">
        <v>11</v>
      </c>
      <c r="D133" t="s">
        <v>12</v>
      </c>
      <c r="E133" t="s">
        <v>13</v>
      </c>
      <c r="F133">
        <v>9208</v>
      </c>
      <c r="G133">
        <v>4</v>
      </c>
      <c r="H133" t="s">
        <v>18</v>
      </c>
      <c r="I133">
        <v>2</v>
      </c>
      <c r="J133" t="s">
        <v>18</v>
      </c>
      <c r="K133">
        <f>IF($J133="Yes",1,0)</f>
        <v>0</v>
      </c>
    </row>
    <row r="134" spans="1:11">
      <c r="A134">
        <v>175</v>
      </c>
      <c r="B134">
        <v>31</v>
      </c>
      <c r="C134" t="s">
        <v>11</v>
      </c>
      <c r="D134" t="s">
        <v>12</v>
      </c>
      <c r="E134" t="s">
        <v>13</v>
      </c>
      <c r="F134">
        <v>4559</v>
      </c>
      <c r="G134">
        <v>3</v>
      </c>
      <c r="H134" t="s">
        <v>14</v>
      </c>
      <c r="I134">
        <v>2</v>
      </c>
      <c r="J134" t="s">
        <v>14</v>
      </c>
      <c r="K134">
        <f>IF($J134="Yes",1,0)</f>
        <v>1</v>
      </c>
    </row>
    <row r="135" spans="1:11">
      <c r="A135">
        <v>176</v>
      </c>
      <c r="B135">
        <v>41</v>
      </c>
      <c r="C135" t="s">
        <v>15</v>
      </c>
      <c r="D135" t="s">
        <v>12</v>
      </c>
      <c r="E135" t="s">
        <v>13</v>
      </c>
      <c r="F135">
        <v>8189</v>
      </c>
      <c r="G135">
        <v>3</v>
      </c>
      <c r="H135" t="s">
        <v>14</v>
      </c>
      <c r="I135">
        <v>9</v>
      </c>
      <c r="J135" t="s">
        <v>18</v>
      </c>
      <c r="K135">
        <f>IF($J135="Yes",1,0)</f>
        <v>0</v>
      </c>
    </row>
    <row r="136" spans="1:11">
      <c r="A136">
        <v>177</v>
      </c>
      <c r="B136">
        <v>26</v>
      </c>
      <c r="C136" t="s">
        <v>11</v>
      </c>
      <c r="D136" t="s">
        <v>25</v>
      </c>
      <c r="E136" t="s">
        <v>25</v>
      </c>
      <c r="F136">
        <v>2942</v>
      </c>
      <c r="G136">
        <v>3</v>
      </c>
      <c r="H136" t="s">
        <v>18</v>
      </c>
      <c r="I136">
        <v>8</v>
      </c>
      <c r="J136" t="s">
        <v>18</v>
      </c>
      <c r="K136">
        <f>IF($J136="Yes",1,0)</f>
        <v>0</v>
      </c>
    </row>
    <row r="137" spans="1:11">
      <c r="A137">
        <v>178</v>
      </c>
      <c r="B137">
        <v>36</v>
      </c>
      <c r="C137" t="s">
        <v>15</v>
      </c>
      <c r="D137" t="s">
        <v>16</v>
      </c>
      <c r="E137" t="s">
        <v>20</v>
      </c>
      <c r="F137">
        <v>4941</v>
      </c>
      <c r="G137">
        <v>2</v>
      </c>
      <c r="H137" t="s">
        <v>18</v>
      </c>
      <c r="I137">
        <v>3</v>
      </c>
      <c r="J137" t="s">
        <v>18</v>
      </c>
      <c r="K137">
        <f>IF($J137="Yes",1,0)</f>
        <v>0</v>
      </c>
    </row>
    <row r="138" spans="1:11">
      <c r="A138">
        <v>179</v>
      </c>
      <c r="B138">
        <v>51</v>
      </c>
      <c r="C138" t="s">
        <v>15</v>
      </c>
      <c r="D138" t="s">
        <v>16</v>
      </c>
      <c r="E138" t="s">
        <v>20</v>
      </c>
      <c r="F138">
        <v>10650</v>
      </c>
      <c r="G138">
        <v>4</v>
      </c>
      <c r="H138" t="s">
        <v>18</v>
      </c>
      <c r="I138">
        <v>4</v>
      </c>
      <c r="J138" t="s">
        <v>14</v>
      </c>
      <c r="K138">
        <f>IF($J138="Yes",1,0)</f>
        <v>1</v>
      </c>
    </row>
    <row r="139" spans="1:11">
      <c r="A139">
        <v>182</v>
      </c>
      <c r="B139">
        <v>39</v>
      </c>
      <c r="C139" t="s">
        <v>11</v>
      </c>
      <c r="D139" t="s">
        <v>12</v>
      </c>
      <c r="E139" t="s">
        <v>13</v>
      </c>
      <c r="F139">
        <v>5902</v>
      </c>
      <c r="G139">
        <v>3</v>
      </c>
      <c r="H139" t="s">
        <v>18</v>
      </c>
      <c r="I139">
        <v>15</v>
      </c>
      <c r="J139" t="s">
        <v>18</v>
      </c>
      <c r="K139">
        <f>IF($J139="Yes",1,0)</f>
        <v>0</v>
      </c>
    </row>
    <row r="140" spans="1:11">
      <c r="A140">
        <v>183</v>
      </c>
      <c r="B140">
        <v>25</v>
      </c>
      <c r="C140" t="s">
        <v>15</v>
      </c>
      <c r="D140" t="s">
        <v>12</v>
      </c>
      <c r="E140" t="s">
        <v>13</v>
      </c>
      <c r="F140">
        <v>8639</v>
      </c>
      <c r="G140">
        <v>3</v>
      </c>
      <c r="H140" t="s">
        <v>18</v>
      </c>
      <c r="I140">
        <v>2</v>
      </c>
      <c r="J140" t="s">
        <v>18</v>
      </c>
      <c r="K140">
        <f>IF($J140="Yes",1,0)</f>
        <v>0</v>
      </c>
    </row>
    <row r="141" spans="1:11">
      <c r="A141">
        <v>184</v>
      </c>
      <c r="B141">
        <v>30</v>
      </c>
      <c r="C141" t="s">
        <v>15</v>
      </c>
      <c r="D141" t="s">
        <v>25</v>
      </c>
      <c r="E141" t="s">
        <v>25</v>
      </c>
      <c r="F141">
        <v>6347</v>
      </c>
      <c r="G141">
        <v>4</v>
      </c>
      <c r="H141" t="s">
        <v>14</v>
      </c>
      <c r="I141">
        <v>11</v>
      </c>
      <c r="J141" t="s">
        <v>18</v>
      </c>
      <c r="K141">
        <f>IF($J141="Yes",1,0)</f>
        <v>0</v>
      </c>
    </row>
    <row r="142" spans="1:11">
      <c r="A142">
        <v>190</v>
      </c>
      <c r="B142">
        <v>32</v>
      </c>
      <c r="C142" t="s">
        <v>11</v>
      </c>
      <c r="D142" t="s">
        <v>16</v>
      </c>
      <c r="E142" t="s">
        <v>19</v>
      </c>
      <c r="F142">
        <v>4200</v>
      </c>
      <c r="G142">
        <v>1</v>
      </c>
      <c r="H142" t="s">
        <v>18</v>
      </c>
      <c r="I142">
        <v>5</v>
      </c>
      <c r="J142" t="s">
        <v>14</v>
      </c>
      <c r="K142">
        <f>IF($J142="Yes",1,0)</f>
        <v>1</v>
      </c>
    </row>
    <row r="143" spans="1:11">
      <c r="A143">
        <v>192</v>
      </c>
      <c r="B143">
        <v>45</v>
      </c>
      <c r="C143" t="s">
        <v>15</v>
      </c>
      <c r="D143" t="s">
        <v>16</v>
      </c>
      <c r="E143" t="s">
        <v>17</v>
      </c>
      <c r="F143">
        <v>3452</v>
      </c>
      <c r="G143">
        <v>4</v>
      </c>
      <c r="H143" t="s">
        <v>18</v>
      </c>
      <c r="I143">
        <v>6</v>
      </c>
      <c r="J143" t="s">
        <v>18</v>
      </c>
      <c r="K143">
        <f>IF($J143="Yes",1,0)</f>
        <v>0</v>
      </c>
    </row>
    <row r="144" spans="1:11">
      <c r="A144">
        <v>193</v>
      </c>
      <c r="B144">
        <v>38</v>
      </c>
      <c r="C144" t="s">
        <v>11</v>
      </c>
      <c r="D144" t="s">
        <v>16</v>
      </c>
      <c r="E144" t="s">
        <v>17</v>
      </c>
      <c r="F144">
        <v>4317</v>
      </c>
      <c r="G144">
        <v>3</v>
      </c>
      <c r="H144" t="s">
        <v>14</v>
      </c>
      <c r="I144">
        <v>3</v>
      </c>
      <c r="J144" t="s">
        <v>18</v>
      </c>
      <c r="K144">
        <f>IF($J144="Yes",1,0)</f>
        <v>0</v>
      </c>
    </row>
    <row r="145" spans="1:11">
      <c r="A145">
        <v>194</v>
      </c>
      <c r="B145">
        <v>30</v>
      </c>
      <c r="C145" t="s">
        <v>11</v>
      </c>
      <c r="D145" t="s">
        <v>16</v>
      </c>
      <c r="E145" t="s">
        <v>17</v>
      </c>
      <c r="F145">
        <v>2632</v>
      </c>
      <c r="G145">
        <v>3</v>
      </c>
      <c r="H145" t="s">
        <v>18</v>
      </c>
      <c r="I145">
        <v>5</v>
      </c>
      <c r="J145" t="s">
        <v>18</v>
      </c>
      <c r="K145">
        <f>IF($J145="Yes",1,0)</f>
        <v>0</v>
      </c>
    </row>
    <row r="146" spans="1:11">
      <c r="A146">
        <v>195</v>
      </c>
      <c r="B146">
        <v>32</v>
      </c>
      <c r="C146" t="s">
        <v>15</v>
      </c>
      <c r="D146" t="s">
        <v>12</v>
      </c>
      <c r="E146" t="s">
        <v>13</v>
      </c>
      <c r="F146">
        <v>4668</v>
      </c>
      <c r="G146">
        <v>4</v>
      </c>
      <c r="H146" t="s">
        <v>18</v>
      </c>
      <c r="I146">
        <v>8</v>
      </c>
      <c r="J146" t="s">
        <v>18</v>
      </c>
      <c r="K146">
        <f>IF($J146="Yes",1,0)</f>
        <v>0</v>
      </c>
    </row>
    <row r="147" spans="1:11">
      <c r="A147">
        <v>197</v>
      </c>
      <c r="B147">
        <v>30</v>
      </c>
      <c r="C147" t="s">
        <v>11</v>
      </c>
      <c r="D147" t="s">
        <v>16</v>
      </c>
      <c r="E147" t="s">
        <v>17</v>
      </c>
      <c r="F147">
        <v>3204</v>
      </c>
      <c r="G147">
        <v>1</v>
      </c>
      <c r="H147" t="s">
        <v>18</v>
      </c>
      <c r="I147">
        <v>3</v>
      </c>
      <c r="J147" t="s">
        <v>18</v>
      </c>
      <c r="K147">
        <f>IF($J147="Yes",1,0)</f>
        <v>0</v>
      </c>
    </row>
    <row r="148" spans="1:11">
      <c r="A148">
        <v>198</v>
      </c>
      <c r="B148">
        <v>30</v>
      </c>
      <c r="C148" t="s">
        <v>15</v>
      </c>
      <c r="D148" t="s">
        <v>16</v>
      </c>
      <c r="E148" t="s">
        <v>19</v>
      </c>
      <c r="F148">
        <v>2720</v>
      </c>
      <c r="G148">
        <v>4</v>
      </c>
      <c r="H148" t="s">
        <v>18</v>
      </c>
      <c r="I148">
        <v>5</v>
      </c>
      <c r="J148" t="s">
        <v>18</v>
      </c>
      <c r="K148">
        <f>IF($J148="Yes",1,0)</f>
        <v>0</v>
      </c>
    </row>
    <row r="149" spans="1:11">
      <c r="A149">
        <v>199</v>
      </c>
      <c r="B149">
        <v>41</v>
      </c>
      <c r="C149" t="s">
        <v>15</v>
      </c>
      <c r="D149" t="s">
        <v>16</v>
      </c>
      <c r="E149" t="s">
        <v>22</v>
      </c>
      <c r="F149">
        <v>17181</v>
      </c>
      <c r="G149">
        <v>1</v>
      </c>
      <c r="H149" t="s">
        <v>18</v>
      </c>
      <c r="I149">
        <v>7</v>
      </c>
      <c r="J149" t="s">
        <v>18</v>
      </c>
      <c r="K149">
        <f>IF($J149="Yes",1,0)</f>
        <v>0</v>
      </c>
    </row>
    <row r="150" spans="1:11">
      <c r="A150">
        <v>200</v>
      </c>
      <c r="B150">
        <v>41</v>
      </c>
      <c r="C150" t="s">
        <v>15</v>
      </c>
      <c r="D150" t="s">
        <v>16</v>
      </c>
      <c r="E150" t="s">
        <v>19</v>
      </c>
      <c r="F150">
        <v>2238</v>
      </c>
      <c r="G150">
        <v>1</v>
      </c>
      <c r="H150" t="s">
        <v>18</v>
      </c>
      <c r="I150">
        <v>5</v>
      </c>
      <c r="J150" t="s">
        <v>18</v>
      </c>
      <c r="K150">
        <f>IF($J150="Yes",1,0)</f>
        <v>0</v>
      </c>
    </row>
    <row r="151" spans="1:11">
      <c r="A151">
        <v>201</v>
      </c>
      <c r="B151">
        <v>19</v>
      </c>
      <c r="C151" t="s">
        <v>11</v>
      </c>
      <c r="D151" t="s">
        <v>16</v>
      </c>
      <c r="E151" t="s">
        <v>19</v>
      </c>
      <c r="F151">
        <v>1483</v>
      </c>
      <c r="G151">
        <v>2</v>
      </c>
      <c r="H151" t="s">
        <v>18</v>
      </c>
      <c r="I151">
        <v>1</v>
      </c>
      <c r="J151" t="s">
        <v>18</v>
      </c>
      <c r="K151">
        <f>IF($J151="Yes",1,0)</f>
        <v>0</v>
      </c>
    </row>
    <row r="152" spans="1:11">
      <c r="A152">
        <v>202</v>
      </c>
      <c r="B152">
        <v>40</v>
      </c>
      <c r="C152" t="s">
        <v>11</v>
      </c>
      <c r="D152" t="s">
        <v>16</v>
      </c>
      <c r="E152" t="s">
        <v>17</v>
      </c>
      <c r="F152">
        <v>5605</v>
      </c>
      <c r="G152">
        <v>2</v>
      </c>
      <c r="H152" t="s">
        <v>18</v>
      </c>
      <c r="I152">
        <v>20</v>
      </c>
      <c r="J152" t="s">
        <v>18</v>
      </c>
      <c r="K152">
        <f>IF($J152="Yes",1,0)</f>
        <v>0</v>
      </c>
    </row>
    <row r="153" spans="1:11">
      <c r="A153">
        <v>204</v>
      </c>
      <c r="B153">
        <v>35</v>
      </c>
      <c r="C153" t="s">
        <v>15</v>
      </c>
      <c r="D153" t="s">
        <v>12</v>
      </c>
      <c r="E153" t="s">
        <v>13</v>
      </c>
      <c r="F153">
        <v>7295</v>
      </c>
      <c r="G153">
        <v>2</v>
      </c>
      <c r="H153" t="s">
        <v>18</v>
      </c>
      <c r="I153">
        <v>10</v>
      </c>
      <c r="J153" t="s">
        <v>18</v>
      </c>
      <c r="K153">
        <f>IF($J153="Yes",1,0)</f>
        <v>0</v>
      </c>
    </row>
    <row r="154" spans="1:11">
      <c r="A154">
        <v>205</v>
      </c>
      <c r="B154">
        <v>53</v>
      </c>
      <c r="C154" t="s">
        <v>15</v>
      </c>
      <c r="D154" t="s">
        <v>12</v>
      </c>
      <c r="E154" t="s">
        <v>23</v>
      </c>
      <c r="F154">
        <v>2306</v>
      </c>
      <c r="G154">
        <v>3</v>
      </c>
      <c r="H154" t="s">
        <v>14</v>
      </c>
      <c r="I154">
        <v>7</v>
      </c>
      <c r="J154" t="s">
        <v>18</v>
      </c>
      <c r="K154">
        <f>IF($J154="Yes",1,0)</f>
        <v>0</v>
      </c>
    </row>
    <row r="155" spans="1:11">
      <c r="A155">
        <v>206</v>
      </c>
      <c r="B155">
        <v>45</v>
      </c>
      <c r="C155" t="s">
        <v>15</v>
      </c>
      <c r="D155" t="s">
        <v>16</v>
      </c>
      <c r="E155" t="s">
        <v>19</v>
      </c>
      <c r="F155">
        <v>2348</v>
      </c>
      <c r="G155">
        <v>2</v>
      </c>
      <c r="H155" t="s">
        <v>18</v>
      </c>
      <c r="I155">
        <v>17</v>
      </c>
      <c r="J155" t="s">
        <v>18</v>
      </c>
      <c r="K155">
        <f>IF($J155="Yes",1,0)</f>
        <v>0</v>
      </c>
    </row>
    <row r="156" spans="1:11">
      <c r="A156">
        <v>207</v>
      </c>
      <c r="B156">
        <v>32</v>
      </c>
      <c r="C156" t="s">
        <v>11</v>
      </c>
      <c r="D156" t="s">
        <v>12</v>
      </c>
      <c r="E156" t="s">
        <v>13</v>
      </c>
      <c r="F156">
        <v>8998</v>
      </c>
      <c r="G156">
        <v>4</v>
      </c>
      <c r="H156" t="s">
        <v>18</v>
      </c>
      <c r="I156">
        <v>9</v>
      </c>
      <c r="J156" t="s">
        <v>18</v>
      </c>
      <c r="K156">
        <f>IF($J156="Yes",1,0)</f>
        <v>0</v>
      </c>
    </row>
    <row r="157" spans="1:11">
      <c r="A157">
        <v>208</v>
      </c>
      <c r="B157">
        <v>29</v>
      </c>
      <c r="C157" t="s">
        <v>15</v>
      </c>
      <c r="D157" t="s">
        <v>16</v>
      </c>
      <c r="E157" t="s">
        <v>20</v>
      </c>
      <c r="F157">
        <v>4319</v>
      </c>
      <c r="G157">
        <v>3</v>
      </c>
      <c r="H157" t="s">
        <v>18</v>
      </c>
      <c r="I157">
        <v>10</v>
      </c>
      <c r="J157" t="s">
        <v>18</v>
      </c>
      <c r="K157">
        <f>IF($J157="Yes",1,0)</f>
        <v>0</v>
      </c>
    </row>
    <row r="158" spans="1:11">
      <c r="A158">
        <v>211</v>
      </c>
      <c r="B158">
        <v>51</v>
      </c>
      <c r="C158" t="s">
        <v>15</v>
      </c>
      <c r="D158" t="s">
        <v>16</v>
      </c>
      <c r="E158" t="s">
        <v>20</v>
      </c>
      <c r="F158">
        <v>6132</v>
      </c>
      <c r="G158">
        <v>3</v>
      </c>
      <c r="H158" t="s">
        <v>18</v>
      </c>
      <c r="I158">
        <v>1</v>
      </c>
      <c r="J158" t="s">
        <v>18</v>
      </c>
      <c r="K158">
        <f>IF($J158="Yes",1,0)</f>
        <v>0</v>
      </c>
    </row>
    <row r="159" spans="1:11">
      <c r="A159">
        <v>214</v>
      </c>
      <c r="B159">
        <v>58</v>
      </c>
      <c r="C159" t="s">
        <v>11</v>
      </c>
      <c r="D159" t="s">
        <v>16</v>
      </c>
      <c r="E159" t="s">
        <v>17</v>
      </c>
      <c r="F159">
        <v>3346</v>
      </c>
      <c r="G159">
        <v>2</v>
      </c>
      <c r="H159" t="s">
        <v>14</v>
      </c>
      <c r="I159">
        <v>1</v>
      </c>
      <c r="J159" t="s">
        <v>18</v>
      </c>
      <c r="K159">
        <f>IF($J159="Yes",1,0)</f>
        <v>0</v>
      </c>
    </row>
    <row r="160" spans="1:11">
      <c r="A160">
        <v>215</v>
      </c>
      <c r="B160">
        <v>40</v>
      </c>
      <c r="C160" t="s">
        <v>15</v>
      </c>
      <c r="D160" t="s">
        <v>12</v>
      </c>
      <c r="E160" t="s">
        <v>13</v>
      </c>
      <c r="F160">
        <v>10855</v>
      </c>
      <c r="G160">
        <v>4</v>
      </c>
      <c r="H160" t="s">
        <v>18</v>
      </c>
      <c r="I160">
        <v>12</v>
      </c>
      <c r="J160" t="s">
        <v>18</v>
      </c>
      <c r="K160">
        <f>IF($J160="Yes",1,0)</f>
        <v>0</v>
      </c>
    </row>
    <row r="161" spans="1:11">
      <c r="A161">
        <v>216</v>
      </c>
      <c r="B161">
        <v>34</v>
      </c>
      <c r="C161" t="s">
        <v>11</v>
      </c>
      <c r="D161" t="s">
        <v>12</v>
      </c>
      <c r="E161" t="s">
        <v>23</v>
      </c>
      <c r="F161">
        <v>2231</v>
      </c>
      <c r="G161">
        <v>3</v>
      </c>
      <c r="H161" t="s">
        <v>18</v>
      </c>
      <c r="I161">
        <v>4</v>
      </c>
      <c r="J161" t="s">
        <v>18</v>
      </c>
      <c r="K161">
        <f>IF($J161="Yes",1,0)</f>
        <v>0</v>
      </c>
    </row>
    <row r="162" spans="1:11">
      <c r="A162">
        <v>217</v>
      </c>
      <c r="B162">
        <v>22</v>
      </c>
      <c r="C162" t="s">
        <v>15</v>
      </c>
      <c r="D162" t="s">
        <v>16</v>
      </c>
      <c r="E162" t="s">
        <v>17</v>
      </c>
      <c r="F162">
        <v>2323</v>
      </c>
      <c r="G162">
        <v>4</v>
      </c>
      <c r="H162" t="s">
        <v>18</v>
      </c>
      <c r="I162">
        <v>2</v>
      </c>
      <c r="J162" t="s">
        <v>18</v>
      </c>
      <c r="K162">
        <f>IF($J162="Yes",1,0)</f>
        <v>0</v>
      </c>
    </row>
    <row r="163" spans="1:11">
      <c r="A163">
        <v>218</v>
      </c>
      <c r="B163">
        <v>27</v>
      </c>
      <c r="C163" t="s">
        <v>15</v>
      </c>
      <c r="D163" t="s">
        <v>16</v>
      </c>
      <c r="E163" t="s">
        <v>17</v>
      </c>
      <c r="F163">
        <v>2024</v>
      </c>
      <c r="G163">
        <v>2</v>
      </c>
      <c r="H163" t="s">
        <v>18</v>
      </c>
      <c r="I163">
        <v>2</v>
      </c>
      <c r="J163" t="s">
        <v>18</v>
      </c>
      <c r="K163">
        <f>IF($J163="Yes",1,0)</f>
        <v>0</v>
      </c>
    </row>
    <row r="164" spans="1:11">
      <c r="A164">
        <v>221</v>
      </c>
      <c r="B164">
        <v>28</v>
      </c>
      <c r="C164" t="s">
        <v>15</v>
      </c>
      <c r="D164" t="s">
        <v>16</v>
      </c>
      <c r="E164" t="s">
        <v>17</v>
      </c>
      <c r="F164">
        <v>2713</v>
      </c>
      <c r="G164">
        <v>4</v>
      </c>
      <c r="H164" t="s">
        <v>18</v>
      </c>
      <c r="I164">
        <v>5</v>
      </c>
      <c r="J164" t="s">
        <v>18</v>
      </c>
      <c r="K164">
        <f>IF($J164="Yes",1,0)</f>
        <v>0</v>
      </c>
    </row>
    <row r="165" spans="1:11">
      <c r="A165">
        <v>223</v>
      </c>
      <c r="B165">
        <v>57</v>
      </c>
      <c r="C165" t="s">
        <v>15</v>
      </c>
      <c r="D165" t="s">
        <v>16</v>
      </c>
      <c r="E165" t="s">
        <v>21</v>
      </c>
      <c r="F165">
        <v>9439</v>
      </c>
      <c r="G165">
        <v>4</v>
      </c>
      <c r="H165" t="s">
        <v>14</v>
      </c>
      <c r="I165">
        <v>5</v>
      </c>
      <c r="J165" t="s">
        <v>18</v>
      </c>
      <c r="K165">
        <f>IF($J165="Yes",1,0)</f>
        <v>0</v>
      </c>
    </row>
    <row r="166" spans="1:11">
      <c r="A166">
        <v>224</v>
      </c>
      <c r="B166">
        <v>27</v>
      </c>
      <c r="C166" t="s">
        <v>15</v>
      </c>
      <c r="D166" t="s">
        <v>16</v>
      </c>
      <c r="E166" t="s">
        <v>17</v>
      </c>
      <c r="F166">
        <v>2566</v>
      </c>
      <c r="G166">
        <v>3</v>
      </c>
      <c r="H166" t="s">
        <v>14</v>
      </c>
      <c r="I166">
        <v>1</v>
      </c>
      <c r="J166" t="s">
        <v>18</v>
      </c>
      <c r="K166">
        <f>IF($J166="Yes",1,0)</f>
        <v>0</v>
      </c>
    </row>
    <row r="167" spans="1:11">
      <c r="A167">
        <v>226</v>
      </c>
      <c r="B167">
        <v>50</v>
      </c>
      <c r="C167" t="s">
        <v>11</v>
      </c>
      <c r="D167" t="s">
        <v>16</v>
      </c>
      <c r="E167" t="s">
        <v>22</v>
      </c>
      <c r="F167">
        <v>19926</v>
      </c>
      <c r="G167">
        <v>2</v>
      </c>
      <c r="H167" t="s">
        <v>18</v>
      </c>
      <c r="I167">
        <v>5</v>
      </c>
      <c r="J167" t="s">
        <v>18</v>
      </c>
      <c r="K167">
        <f>IF($J167="Yes",1,0)</f>
        <v>0</v>
      </c>
    </row>
    <row r="168" spans="1:11">
      <c r="A168">
        <v>227</v>
      </c>
      <c r="B168">
        <v>41</v>
      </c>
      <c r="C168" t="s">
        <v>15</v>
      </c>
      <c r="D168" t="s">
        <v>16</v>
      </c>
      <c r="E168" t="s">
        <v>17</v>
      </c>
      <c r="F168">
        <v>2451</v>
      </c>
      <c r="G168">
        <v>3</v>
      </c>
      <c r="H168" t="s">
        <v>18</v>
      </c>
      <c r="I168">
        <v>9</v>
      </c>
      <c r="J168" t="s">
        <v>18</v>
      </c>
      <c r="K168">
        <f>IF($J168="Yes",1,0)</f>
        <v>0</v>
      </c>
    </row>
    <row r="169" spans="1:11">
      <c r="A169">
        <v>228</v>
      </c>
      <c r="B169">
        <v>30</v>
      </c>
      <c r="C169" t="s">
        <v>11</v>
      </c>
      <c r="D169" t="s">
        <v>12</v>
      </c>
      <c r="E169" t="s">
        <v>13</v>
      </c>
      <c r="F169">
        <v>9419</v>
      </c>
      <c r="G169">
        <v>4</v>
      </c>
      <c r="H169" t="s">
        <v>18</v>
      </c>
      <c r="I169">
        <v>10</v>
      </c>
      <c r="J169" t="s">
        <v>18</v>
      </c>
      <c r="K169">
        <f>IF($J169="Yes",1,0)</f>
        <v>0</v>
      </c>
    </row>
    <row r="170" spans="1:11">
      <c r="A170">
        <v>230</v>
      </c>
      <c r="B170">
        <v>38</v>
      </c>
      <c r="C170" t="s">
        <v>11</v>
      </c>
      <c r="D170" t="s">
        <v>12</v>
      </c>
      <c r="E170" t="s">
        <v>13</v>
      </c>
      <c r="F170">
        <v>8686</v>
      </c>
      <c r="G170">
        <v>4</v>
      </c>
      <c r="H170" t="s">
        <v>18</v>
      </c>
      <c r="I170">
        <v>8</v>
      </c>
      <c r="J170" t="s">
        <v>18</v>
      </c>
      <c r="K170">
        <f>IF($J170="Yes",1,0)</f>
        <v>0</v>
      </c>
    </row>
    <row r="171" spans="1:11">
      <c r="A171">
        <v>231</v>
      </c>
      <c r="B171">
        <v>32</v>
      </c>
      <c r="C171" t="s">
        <v>15</v>
      </c>
      <c r="D171" t="s">
        <v>16</v>
      </c>
      <c r="E171" t="s">
        <v>17</v>
      </c>
      <c r="F171">
        <v>3038</v>
      </c>
      <c r="G171">
        <v>3</v>
      </c>
      <c r="H171" t="s">
        <v>18</v>
      </c>
      <c r="I171">
        <v>5</v>
      </c>
      <c r="J171" t="s">
        <v>18</v>
      </c>
      <c r="K171">
        <f>IF($J171="Yes",1,0)</f>
        <v>0</v>
      </c>
    </row>
    <row r="172" spans="1:11">
      <c r="A172">
        <v>233</v>
      </c>
      <c r="B172">
        <v>27</v>
      </c>
      <c r="C172" t="s">
        <v>15</v>
      </c>
      <c r="D172" t="s">
        <v>16</v>
      </c>
      <c r="E172" t="s">
        <v>17</v>
      </c>
      <c r="F172">
        <v>3058</v>
      </c>
      <c r="G172">
        <v>2</v>
      </c>
      <c r="H172" t="s">
        <v>14</v>
      </c>
      <c r="I172">
        <v>5</v>
      </c>
      <c r="J172" t="s">
        <v>18</v>
      </c>
      <c r="K172">
        <f>IF($J172="Yes",1,0)</f>
        <v>0</v>
      </c>
    </row>
    <row r="173" spans="1:11">
      <c r="A173">
        <v>235</v>
      </c>
      <c r="B173">
        <v>19</v>
      </c>
      <c r="C173" t="s">
        <v>11</v>
      </c>
      <c r="D173" t="s">
        <v>12</v>
      </c>
      <c r="E173" t="s">
        <v>23</v>
      </c>
      <c r="F173">
        <v>2325</v>
      </c>
      <c r="G173">
        <v>1</v>
      </c>
      <c r="H173" t="s">
        <v>18</v>
      </c>
      <c r="I173">
        <v>0</v>
      </c>
      <c r="J173" t="s">
        <v>14</v>
      </c>
      <c r="K173">
        <f>IF($J173="Yes",1,0)</f>
        <v>1</v>
      </c>
    </row>
    <row r="174" spans="1:11">
      <c r="A174">
        <v>238</v>
      </c>
      <c r="B174">
        <v>36</v>
      </c>
      <c r="C174" t="s">
        <v>15</v>
      </c>
      <c r="D174" t="s">
        <v>16</v>
      </c>
      <c r="E174" t="s">
        <v>19</v>
      </c>
      <c r="F174">
        <v>2088</v>
      </c>
      <c r="G174">
        <v>2</v>
      </c>
      <c r="H174" t="s">
        <v>18</v>
      </c>
      <c r="I174">
        <v>8</v>
      </c>
      <c r="J174" t="s">
        <v>18</v>
      </c>
      <c r="K174">
        <f>IF($J174="Yes",1,0)</f>
        <v>0</v>
      </c>
    </row>
    <row r="175" spans="1:11">
      <c r="A175">
        <v>239</v>
      </c>
      <c r="B175">
        <v>30</v>
      </c>
      <c r="C175" t="s">
        <v>15</v>
      </c>
      <c r="D175" t="s">
        <v>16</v>
      </c>
      <c r="E175" t="s">
        <v>19</v>
      </c>
      <c r="F175">
        <v>3072</v>
      </c>
      <c r="G175">
        <v>1</v>
      </c>
      <c r="H175" t="s">
        <v>18</v>
      </c>
      <c r="I175">
        <v>12</v>
      </c>
      <c r="J175" t="s">
        <v>18</v>
      </c>
      <c r="K175">
        <f>IF($J175="Yes",1,0)</f>
        <v>0</v>
      </c>
    </row>
    <row r="176" spans="1:11">
      <c r="A176">
        <v>240</v>
      </c>
      <c r="B176">
        <v>45</v>
      </c>
      <c r="C176" t="s">
        <v>11</v>
      </c>
      <c r="D176" t="s">
        <v>12</v>
      </c>
      <c r="E176" t="s">
        <v>13</v>
      </c>
      <c r="F176">
        <v>5006</v>
      </c>
      <c r="G176">
        <v>1</v>
      </c>
      <c r="H176" t="s">
        <v>14</v>
      </c>
      <c r="I176">
        <v>5</v>
      </c>
      <c r="J176" t="s">
        <v>18</v>
      </c>
      <c r="K176">
        <f>IF($J176="Yes",1,0)</f>
        <v>0</v>
      </c>
    </row>
    <row r="177" spans="1:11">
      <c r="A177">
        <v>241</v>
      </c>
      <c r="B177">
        <v>56</v>
      </c>
      <c r="C177" t="s">
        <v>11</v>
      </c>
      <c r="D177" t="s">
        <v>16</v>
      </c>
      <c r="E177" t="s">
        <v>17</v>
      </c>
      <c r="F177">
        <v>4257</v>
      </c>
      <c r="G177">
        <v>1</v>
      </c>
      <c r="H177" t="s">
        <v>14</v>
      </c>
      <c r="I177">
        <v>2</v>
      </c>
      <c r="J177" t="s">
        <v>18</v>
      </c>
      <c r="K177">
        <f>IF($J177="Yes",1,0)</f>
        <v>0</v>
      </c>
    </row>
    <row r="178" spans="1:11">
      <c r="A178">
        <v>242</v>
      </c>
      <c r="B178">
        <v>33</v>
      </c>
      <c r="C178" t="s">
        <v>15</v>
      </c>
      <c r="D178" t="s">
        <v>16</v>
      </c>
      <c r="E178" t="s">
        <v>17</v>
      </c>
      <c r="F178">
        <v>2500</v>
      </c>
      <c r="G178">
        <v>4</v>
      </c>
      <c r="H178" t="s">
        <v>18</v>
      </c>
      <c r="I178">
        <v>3</v>
      </c>
      <c r="J178" t="s">
        <v>18</v>
      </c>
      <c r="K178">
        <f>IF($J178="Yes",1,0)</f>
        <v>0</v>
      </c>
    </row>
    <row r="179" spans="1:11">
      <c r="A179">
        <v>243</v>
      </c>
      <c r="B179">
        <v>19</v>
      </c>
      <c r="C179" t="s">
        <v>15</v>
      </c>
      <c r="D179" t="s">
        <v>16</v>
      </c>
      <c r="E179" t="s">
        <v>19</v>
      </c>
      <c r="F179">
        <v>1102</v>
      </c>
      <c r="G179">
        <v>4</v>
      </c>
      <c r="H179" t="s">
        <v>18</v>
      </c>
      <c r="I179">
        <v>1</v>
      </c>
      <c r="J179" t="s">
        <v>14</v>
      </c>
      <c r="K179">
        <f>IF($J179="Yes",1,0)</f>
        <v>1</v>
      </c>
    </row>
    <row r="180" spans="1:11">
      <c r="A180">
        <v>244</v>
      </c>
      <c r="B180">
        <v>46</v>
      </c>
      <c r="C180" t="s">
        <v>11</v>
      </c>
      <c r="D180" t="s">
        <v>12</v>
      </c>
      <c r="E180" t="s">
        <v>13</v>
      </c>
      <c r="F180">
        <v>10453</v>
      </c>
      <c r="G180">
        <v>1</v>
      </c>
      <c r="H180" t="s">
        <v>18</v>
      </c>
      <c r="I180">
        <v>24</v>
      </c>
      <c r="J180" t="s">
        <v>18</v>
      </c>
      <c r="K180">
        <f>IF($J180="Yes",1,0)</f>
        <v>0</v>
      </c>
    </row>
    <row r="181" spans="1:11">
      <c r="A181">
        <v>245</v>
      </c>
      <c r="B181">
        <v>38</v>
      </c>
      <c r="C181" t="s">
        <v>11</v>
      </c>
      <c r="D181" t="s">
        <v>16</v>
      </c>
      <c r="E181" t="s">
        <v>19</v>
      </c>
      <c r="F181">
        <v>2288</v>
      </c>
      <c r="G181">
        <v>4</v>
      </c>
      <c r="H181" t="s">
        <v>18</v>
      </c>
      <c r="I181">
        <v>2</v>
      </c>
      <c r="J181" t="s">
        <v>18</v>
      </c>
      <c r="K181">
        <f>IF($J181="Yes",1,0)</f>
        <v>0</v>
      </c>
    </row>
    <row r="182" spans="1:11">
      <c r="A182">
        <v>246</v>
      </c>
      <c r="B182">
        <v>31</v>
      </c>
      <c r="C182" t="s">
        <v>11</v>
      </c>
      <c r="D182" t="s">
        <v>16</v>
      </c>
      <c r="E182" t="s">
        <v>17</v>
      </c>
      <c r="F182">
        <v>3929</v>
      </c>
      <c r="G182">
        <v>4</v>
      </c>
      <c r="H182" t="s">
        <v>14</v>
      </c>
      <c r="I182">
        <v>4</v>
      </c>
      <c r="J182" t="s">
        <v>18</v>
      </c>
      <c r="K182">
        <f>IF($J182="Yes",1,0)</f>
        <v>0</v>
      </c>
    </row>
    <row r="183" spans="1:11">
      <c r="A183">
        <v>247</v>
      </c>
      <c r="B183">
        <v>34</v>
      </c>
      <c r="C183" t="s">
        <v>11</v>
      </c>
      <c r="D183" t="s">
        <v>16</v>
      </c>
      <c r="E183" t="s">
        <v>17</v>
      </c>
      <c r="F183">
        <v>2311</v>
      </c>
      <c r="G183">
        <v>2</v>
      </c>
      <c r="H183" t="s">
        <v>18</v>
      </c>
      <c r="I183">
        <v>3</v>
      </c>
      <c r="J183" t="s">
        <v>18</v>
      </c>
      <c r="K183">
        <f>IF($J183="Yes",1,0)</f>
        <v>0</v>
      </c>
    </row>
    <row r="184" spans="1:11">
      <c r="A184">
        <v>248</v>
      </c>
      <c r="B184">
        <v>41</v>
      </c>
      <c r="C184" t="s">
        <v>11</v>
      </c>
      <c r="D184" t="s">
        <v>12</v>
      </c>
      <c r="E184" t="s">
        <v>23</v>
      </c>
      <c r="F184">
        <v>3140</v>
      </c>
      <c r="G184">
        <v>2</v>
      </c>
      <c r="H184" t="s">
        <v>14</v>
      </c>
      <c r="I184">
        <v>4</v>
      </c>
      <c r="J184" t="s">
        <v>14</v>
      </c>
      <c r="K184">
        <f>IF($J184="Yes",1,0)</f>
        <v>1</v>
      </c>
    </row>
    <row r="185" spans="1:11">
      <c r="A185">
        <v>249</v>
      </c>
      <c r="B185">
        <v>50</v>
      </c>
      <c r="C185" t="s">
        <v>15</v>
      </c>
      <c r="D185" t="s">
        <v>16</v>
      </c>
      <c r="E185" t="s">
        <v>19</v>
      </c>
      <c r="F185">
        <v>3690</v>
      </c>
      <c r="G185">
        <v>3</v>
      </c>
      <c r="H185" t="s">
        <v>18</v>
      </c>
      <c r="I185">
        <v>3</v>
      </c>
      <c r="J185" t="s">
        <v>18</v>
      </c>
      <c r="K185">
        <f>IF($J185="Yes",1,0)</f>
        <v>0</v>
      </c>
    </row>
    <row r="186" spans="1:11">
      <c r="A186">
        <v>250</v>
      </c>
      <c r="B186">
        <v>53</v>
      </c>
      <c r="C186" t="s">
        <v>11</v>
      </c>
      <c r="D186" t="s">
        <v>16</v>
      </c>
      <c r="E186" t="s">
        <v>20</v>
      </c>
      <c r="F186">
        <v>4450</v>
      </c>
      <c r="G186">
        <v>1</v>
      </c>
      <c r="H186" t="s">
        <v>18</v>
      </c>
      <c r="I186">
        <v>4</v>
      </c>
      <c r="J186" t="s">
        <v>18</v>
      </c>
      <c r="K186">
        <f>IF($J186="Yes",1,0)</f>
        <v>0</v>
      </c>
    </row>
    <row r="187" spans="1:11">
      <c r="A187">
        <v>252</v>
      </c>
      <c r="B187">
        <v>33</v>
      </c>
      <c r="C187" t="s">
        <v>11</v>
      </c>
      <c r="D187" t="s">
        <v>16</v>
      </c>
      <c r="E187" t="s">
        <v>17</v>
      </c>
      <c r="F187">
        <v>2756</v>
      </c>
      <c r="G187">
        <v>2</v>
      </c>
      <c r="H187" t="s">
        <v>18</v>
      </c>
      <c r="I187">
        <v>8</v>
      </c>
      <c r="J187" t="s">
        <v>18</v>
      </c>
      <c r="K187">
        <f>IF($J187="Yes",1,0)</f>
        <v>0</v>
      </c>
    </row>
    <row r="188" spans="1:11">
      <c r="A188">
        <v>253</v>
      </c>
      <c r="B188">
        <v>40</v>
      </c>
      <c r="C188" t="s">
        <v>11</v>
      </c>
      <c r="D188" t="s">
        <v>16</v>
      </c>
      <c r="E188" t="s">
        <v>22</v>
      </c>
      <c r="F188">
        <v>19033</v>
      </c>
      <c r="G188">
        <v>3</v>
      </c>
      <c r="H188" t="s">
        <v>18</v>
      </c>
      <c r="I188">
        <v>20</v>
      </c>
      <c r="J188" t="s">
        <v>18</v>
      </c>
      <c r="K188">
        <f>IF($J188="Yes",1,0)</f>
        <v>0</v>
      </c>
    </row>
    <row r="189" spans="1:11">
      <c r="A189">
        <v>254</v>
      </c>
      <c r="B189">
        <v>55</v>
      </c>
      <c r="C189" t="s">
        <v>15</v>
      </c>
      <c r="D189" t="s">
        <v>16</v>
      </c>
      <c r="E189" t="s">
        <v>24</v>
      </c>
      <c r="F189">
        <v>18722</v>
      </c>
      <c r="G189">
        <v>2</v>
      </c>
      <c r="H189" t="s">
        <v>18</v>
      </c>
      <c r="I189">
        <v>24</v>
      </c>
      <c r="J189" t="s">
        <v>18</v>
      </c>
      <c r="K189">
        <f>IF($J189="Yes",1,0)</f>
        <v>0</v>
      </c>
    </row>
    <row r="190" spans="1:11">
      <c r="A190">
        <v>256</v>
      </c>
      <c r="B190">
        <v>34</v>
      </c>
      <c r="C190" t="s">
        <v>15</v>
      </c>
      <c r="D190" t="s">
        <v>16</v>
      </c>
      <c r="E190" t="s">
        <v>20</v>
      </c>
      <c r="F190">
        <v>9547</v>
      </c>
      <c r="G190">
        <v>3</v>
      </c>
      <c r="H190" t="s">
        <v>18</v>
      </c>
      <c r="I190">
        <v>10</v>
      </c>
      <c r="J190" t="s">
        <v>18</v>
      </c>
      <c r="K190">
        <f>IF($J190="Yes",1,0)</f>
        <v>0</v>
      </c>
    </row>
    <row r="191" spans="1:11">
      <c r="A191">
        <v>258</v>
      </c>
      <c r="B191">
        <v>51</v>
      </c>
      <c r="C191" t="s">
        <v>11</v>
      </c>
      <c r="D191" t="s">
        <v>16</v>
      </c>
      <c r="E191" t="s">
        <v>21</v>
      </c>
      <c r="F191">
        <v>13734</v>
      </c>
      <c r="G191">
        <v>2</v>
      </c>
      <c r="H191" t="s">
        <v>18</v>
      </c>
      <c r="I191">
        <v>7</v>
      </c>
      <c r="J191" t="s">
        <v>18</v>
      </c>
      <c r="K191">
        <f>IF($J191="Yes",1,0)</f>
        <v>0</v>
      </c>
    </row>
    <row r="192" spans="1:11">
      <c r="A192">
        <v>259</v>
      </c>
      <c r="B192">
        <v>52</v>
      </c>
      <c r="C192" t="s">
        <v>15</v>
      </c>
      <c r="D192" t="s">
        <v>16</v>
      </c>
      <c r="E192" t="s">
        <v>22</v>
      </c>
      <c r="F192">
        <v>19999</v>
      </c>
      <c r="G192">
        <v>3</v>
      </c>
      <c r="H192" t="s">
        <v>18</v>
      </c>
      <c r="I192">
        <v>33</v>
      </c>
      <c r="J192" t="s">
        <v>18</v>
      </c>
      <c r="K192">
        <f>IF($J192="Yes",1,0)</f>
        <v>0</v>
      </c>
    </row>
    <row r="193" spans="1:11">
      <c r="A193">
        <v>260</v>
      </c>
      <c r="B193">
        <v>27</v>
      </c>
      <c r="C193" t="s">
        <v>11</v>
      </c>
      <c r="D193" t="s">
        <v>16</v>
      </c>
      <c r="E193" t="s">
        <v>17</v>
      </c>
      <c r="F193">
        <v>2279</v>
      </c>
      <c r="G193">
        <v>2</v>
      </c>
      <c r="H193" t="s">
        <v>18</v>
      </c>
      <c r="I193">
        <v>7</v>
      </c>
      <c r="J193" t="s">
        <v>18</v>
      </c>
      <c r="K193">
        <f>IF($J193="Yes",1,0)</f>
        <v>0</v>
      </c>
    </row>
    <row r="194" spans="1:11">
      <c r="A194">
        <v>261</v>
      </c>
      <c r="B194">
        <v>35</v>
      </c>
      <c r="C194" t="s">
        <v>15</v>
      </c>
      <c r="D194" t="s">
        <v>16</v>
      </c>
      <c r="E194" t="s">
        <v>20</v>
      </c>
      <c r="F194">
        <v>5916</v>
      </c>
      <c r="G194">
        <v>3</v>
      </c>
      <c r="H194" t="s">
        <v>14</v>
      </c>
      <c r="I194">
        <v>1</v>
      </c>
      <c r="J194" t="s">
        <v>14</v>
      </c>
      <c r="K194">
        <f>IF($J194="Yes",1,0)</f>
        <v>1</v>
      </c>
    </row>
    <row r="195" spans="1:11">
      <c r="A195">
        <v>262</v>
      </c>
      <c r="B195">
        <v>43</v>
      </c>
      <c r="C195" t="s">
        <v>15</v>
      </c>
      <c r="D195" t="s">
        <v>16</v>
      </c>
      <c r="E195" t="s">
        <v>17</v>
      </c>
      <c r="F195">
        <v>2089</v>
      </c>
      <c r="G195">
        <v>4</v>
      </c>
      <c r="H195" t="s">
        <v>18</v>
      </c>
      <c r="I195">
        <v>5</v>
      </c>
      <c r="J195" t="s">
        <v>18</v>
      </c>
      <c r="K195">
        <f>IF($J195="Yes",1,0)</f>
        <v>0</v>
      </c>
    </row>
    <row r="196" spans="1:11">
      <c r="A196">
        <v>264</v>
      </c>
      <c r="B196">
        <v>45</v>
      </c>
      <c r="C196" t="s">
        <v>15</v>
      </c>
      <c r="D196" t="s">
        <v>16</v>
      </c>
      <c r="E196" t="s">
        <v>22</v>
      </c>
      <c r="F196">
        <v>16792</v>
      </c>
      <c r="G196">
        <v>4</v>
      </c>
      <c r="H196" t="s">
        <v>18</v>
      </c>
      <c r="I196">
        <v>20</v>
      </c>
      <c r="J196" t="s">
        <v>18</v>
      </c>
      <c r="K196">
        <f>IF($J196="Yes",1,0)</f>
        <v>0</v>
      </c>
    </row>
    <row r="197" spans="1:11">
      <c r="A197">
        <v>267</v>
      </c>
      <c r="B197">
        <v>37</v>
      </c>
      <c r="C197" t="s">
        <v>15</v>
      </c>
      <c r="D197" t="s">
        <v>16</v>
      </c>
      <c r="E197" t="s">
        <v>17</v>
      </c>
      <c r="F197">
        <v>3564</v>
      </c>
      <c r="G197">
        <v>1</v>
      </c>
      <c r="H197" t="s">
        <v>14</v>
      </c>
      <c r="I197">
        <v>8</v>
      </c>
      <c r="J197" t="s">
        <v>18</v>
      </c>
      <c r="K197">
        <f>IF($J197="Yes",1,0)</f>
        <v>0</v>
      </c>
    </row>
    <row r="198" spans="1:11">
      <c r="A198">
        <v>269</v>
      </c>
      <c r="B198">
        <v>35</v>
      </c>
      <c r="C198" t="s">
        <v>11</v>
      </c>
      <c r="D198" t="s">
        <v>16</v>
      </c>
      <c r="E198" t="s">
        <v>19</v>
      </c>
      <c r="F198">
        <v>4425</v>
      </c>
      <c r="G198">
        <v>2</v>
      </c>
      <c r="H198" t="s">
        <v>18</v>
      </c>
      <c r="I198">
        <v>6</v>
      </c>
      <c r="J198" t="s">
        <v>18</v>
      </c>
      <c r="K198">
        <f>IF($J198="Yes",1,0)</f>
        <v>0</v>
      </c>
    </row>
    <row r="199" spans="1:11">
      <c r="A199">
        <v>270</v>
      </c>
      <c r="B199">
        <v>42</v>
      </c>
      <c r="C199" t="s">
        <v>11</v>
      </c>
      <c r="D199" t="s">
        <v>16</v>
      </c>
      <c r="E199" t="s">
        <v>20</v>
      </c>
      <c r="F199">
        <v>5265</v>
      </c>
      <c r="G199">
        <v>3</v>
      </c>
      <c r="H199" t="s">
        <v>18</v>
      </c>
      <c r="I199">
        <v>5</v>
      </c>
      <c r="J199" t="s">
        <v>18</v>
      </c>
      <c r="K199">
        <f>IF($J199="Yes",1,0)</f>
        <v>0</v>
      </c>
    </row>
    <row r="200" spans="1:11">
      <c r="A200">
        <v>271</v>
      </c>
      <c r="B200">
        <v>38</v>
      </c>
      <c r="C200" t="s">
        <v>15</v>
      </c>
      <c r="D200" t="s">
        <v>16</v>
      </c>
      <c r="E200" t="s">
        <v>20</v>
      </c>
      <c r="F200">
        <v>6553</v>
      </c>
      <c r="G200">
        <v>3</v>
      </c>
      <c r="H200" t="s">
        <v>18</v>
      </c>
      <c r="I200">
        <v>1</v>
      </c>
      <c r="J200" t="s">
        <v>18</v>
      </c>
      <c r="K200">
        <f>IF($J200="Yes",1,0)</f>
        <v>0</v>
      </c>
    </row>
    <row r="201" spans="1:11">
      <c r="A201">
        <v>273</v>
      </c>
      <c r="B201">
        <v>38</v>
      </c>
      <c r="C201" t="s">
        <v>15</v>
      </c>
      <c r="D201" t="s">
        <v>16</v>
      </c>
      <c r="E201" t="s">
        <v>20</v>
      </c>
      <c r="F201">
        <v>6261</v>
      </c>
      <c r="G201">
        <v>4</v>
      </c>
      <c r="H201" t="s">
        <v>18</v>
      </c>
      <c r="I201">
        <v>7</v>
      </c>
      <c r="J201" t="s">
        <v>18</v>
      </c>
      <c r="K201">
        <f>IF($J201="Yes",1,0)</f>
        <v>0</v>
      </c>
    </row>
    <row r="202" spans="1:11">
      <c r="A202">
        <v>274</v>
      </c>
      <c r="B202">
        <v>27</v>
      </c>
      <c r="C202" t="s">
        <v>15</v>
      </c>
      <c r="D202" t="s">
        <v>16</v>
      </c>
      <c r="E202" t="s">
        <v>20</v>
      </c>
      <c r="F202">
        <v>4298</v>
      </c>
      <c r="G202">
        <v>1</v>
      </c>
      <c r="H202" t="s">
        <v>18</v>
      </c>
      <c r="I202">
        <v>2</v>
      </c>
      <c r="J202" t="s">
        <v>18</v>
      </c>
      <c r="K202">
        <f>IF($J202="Yes",1,0)</f>
        <v>0</v>
      </c>
    </row>
    <row r="203" spans="1:11">
      <c r="A203">
        <v>275</v>
      </c>
      <c r="B203">
        <v>49</v>
      </c>
      <c r="C203" t="s">
        <v>15</v>
      </c>
      <c r="D203" t="s">
        <v>16</v>
      </c>
      <c r="E203" t="s">
        <v>20</v>
      </c>
      <c r="F203">
        <v>6804</v>
      </c>
      <c r="G203">
        <v>4</v>
      </c>
      <c r="H203" t="s">
        <v>14</v>
      </c>
      <c r="I203">
        <v>7</v>
      </c>
      <c r="J203" t="s">
        <v>18</v>
      </c>
      <c r="K203">
        <f>IF($J203="Yes",1,0)</f>
        <v>0</v>
      </c>
    </row>
    <row r="204" spans="1:11">
      <c r="A204">
        <v>277</v>
      </c>
      <c r="B204">
        <v>34</v>
      </c>
      <c r="C204" t="s">
        <v>15</v>
      </c>
      <c r="D204" t="s">
        <v>16</v>
      </c>
      <c r="E204" t="s">
        <v>17</v>
      </c>
      <c r="F204">
        <v>3815</v>
      </c>
      <c r="G204">
        <v>3</v>
      </c>
      <c r="H204" t="s">
        <v>14</v>
      </c>
      <c r="I204">
        <v>5</v>
      </c>
      <c r="J204" t="s">
        <v>18</v>
      </c>
      <c r="K204">
        <f>IF($J204="Yes",1,0)</f>
        <v>0</v>
      </c>
    </row>
    <row r="205" spans="1:11">
      <c r="A205">
        <v>281</v>
      </c>
      <c r="B205">
        <v>40</v>
      </c>
      <c r="C205" t="s">
        <v>15</v>
      </c>
      <c r="D205" t="s">
        <v>16</v>
      </c>
      <c r="E205" t="s">
        <v>19</v>
      </c>
      <c r="F205">
        <v>2741</v>
      </c>
      <c r="G205">
        <v>4</v>
      </c>
      <c r="H205" t="s">
        <v>14</v>
      </c>
      <c r="I205">
        <v>7</v>
      </c>
      <c r="J205" t="s">
        <v>18</v>
      </c>
      <c r="K205">
        <f>IF($J205="Yes",1,0)</f>
        <v>0</v>
      </c>
    </row>
    <row r="206" spans="1:11">
      <c r="A206">
        <v>282</v>
      </c>
      <c r="B206">
        <v>38</v>
      </c>
      <c r="C206" t="s">
        <v>15</v>
      </c>
      <c r="D206" t="s">
        <v>16</v>
      </c>
      <c r="E206" t="s">
        <v>21</v>
      </c>
      <c r="F206">
        <v>6673</v>
      </c>
      <c r="G206">
        <v>1</v>
      </c>
      <c r="H206" t="s">
        <v>14</v>
      </c>
      <c r="I206">
        <v>1</v>
      </c>
      <c r="J206" t="s">
        <v>14</v>
      </c>
      <c r="K206">
        <f>IF($J206="Yes",1,0)</f>
        <v>1</v>
      </c>
    </row>
    <row r="207" spans="1:11">
      <c r="A207">
        <v>283</v>
      </c>
      <c r="B207">
        <v>29</v>
      </c>
      <c r="C207" t="s">
        <v>11</v>
      </c>
      <c r="D207" t="s">
        <v>12</v>
      </c>
      <c r="E207" t="s">
        <v>13</v>
      </c>
      <c r="F207">
        <v>7639</v>
      </c>
      <c r="G207">
        <v>4</v>
      </c>
      <c r="H207" t="s">
        <v>18</v>
      </c>
      <c r="I207">
        <v>10</v>
      </c>
      <c r="J207" t="s">
        <v>14</v>
      </c>
      <c r="K207">
        <f>IF($J207="Yes",1,0)</f>
        <v>1</v>
      </c>
    </row>
    <row r="208" spans="1:11">
      <c r="A208">
        <v>284</v>
      </c>
      <c r="B208">
        <v>22</v>
      </c>
      <c r="C208" t="s">
        <v>15</v>
      </c>
      <c r="D208" t="s">
        <v>16</v>
      </c>
      <c r="E208" t="s">
        <v>17</v>
      </c>
      <c r="F208">
        <v>2328</v>
      </c>
      <c r="G208">
        <v>2</v>
      </c>
      <c r="H208" t="s">
        <v>14</v>
      </c>
      <c r="I208">
        <v>4</v>
      </c>
      <c r="J208" t="s">
        <v>18</v>
      </c>
      <c r="K208">
        <f>IF($J208="Yes",1,0)</f>
        <v>0</v>
      </c>
    </row>
    <row r="209" spans="1:11">
      <c r="A209">
        <v>286</v>
      </c>
      <c r="B209">
        <v>36</v>
      </c>
      <c r="C209" t="s">
        <v>11</v>
      </c>
      <c r="D209" t="s">
        <v>16</v>
      </c>
      <c r="E209" t="s">
        <v>19</v>
      </c>
      <c r="F209">
        <v>2153</v>
      </c>
      <c r="G209">
        <v>4</v>
      </c>
      <c r="H209" t="s">
        <v>18</v>
      </c>
      <c r="I209">
        <v>8</v>
      </c>
      <c r="J209" t="s">
        <v>18</v>
      </c>
      <c r="K209">
        <f>IF($J209="Yes",1,0)</f>
        <v>0</v>
      </c>
    </row>
    <row r="210" spans="1:11">
      <c r="A210">
        <v>287</v>
      </c>
      <c r="B210">
        <v>40</v>
      </c>
      <c r="C210" t="s">
        <v>15</v>
      </c>
      <c r="D210" t="s">
        <v>16</v>
      </c>
      <c r="E210" t="s">
        <v>21</v>
      </c>
      <c r="F210">
        <v>4876</v>
      </c>
      <c r="G210">
        <v>4</v>
      </c>
      <c r="H210" t="s">
        <v>18</v>
      </c>
      <c r="I210">
        <v>3</v>
      </c>
      <c r="J210" t="s">
        <v>18</v>
      </c>
      <c r="K210">
        <f>IF($J210="Yes",1,0)</f>
        <v>0</v>
      </c>
    </row>
    <row r="211" spans="1:11">
      <c r="A211">
        <v>288</v>
      </c>
      <c r="B211">
        <v>46</v>
      </c>
      <c r="C211" t="s">
        <v>15</v>
      </c>
      <c r="D211" t="s">
        <v>16</v>
      </c>
      <c r="E211" t="s">
        <v>21</v>
      </c>
      <c r="F211">
        <v>9396</v>
      </c>
      <c r="G211">
        <v>1</v>
      </c>
      <c r="H211" t="s">
        <v>18</v>
      </c>
      <c r="I211">
        <v>4</v>
      </c>
      <c r="J211" t="s">
        <v>18</v>
      </c>
      <c r="K211">
        <f>IF($J211="Yes",1,0)</f>
        <v>0</v>
      </c>
    </row>
    <row r="212" spans="1:11">
      <c r="A212">
        <v>291</v>
      </c>
      <c r="B212">
        <v>32</v>
      </c>
      <c r="C212" t="s">
        <v>15</v>
      </c>
      <c r="D212" t="s">
        <v>12</v>
      </c>
      <c r="E212" t="s">
        <v>13</v>
      </c>
      <c r="F212">
        <v>10400</v>
      </c>
      <c r="G212">
        <v>4</v>
      </c>
      <c r="H212" t="s">
        <v>18</v>
      </c>
      <c r="I212">
        <v>14</v>
      </c>
      <c r="J212" t="s">
        <v>14</v>
      </c>
      <c r="K212">
        <f>IF($J212="Yes",1,0)</f>
        <v>1</v>
      </c>
    </row>
    <row r="213" spans="1:11">
      <c r="A213">
        <v>292</v>
      </c>
      <c r="B213">
        <v>30</v>
      </c>
      <c r="C213" t="s">
        <v>15</v>
      </c>
      <c r="D213" t="s">
        <v>16</v>
      </c>
      <c r="E213" t="s">
        <v>20</v>
      </c>
      <c r="F213">
        <v>8474</v>
      </c>
      <c r="G213">
        <v>3</v>
      </c>
      <c r="H213" t="s">
        <v>18</v>
      </c>
      <c r="I213">
        <v>11</v>
      </c>
      <c r="J213" t="s">
        <v>18</v>
      </c>
      <c r="K213">
        <f>IF($J213="Yes",1,0)</f>
        <v>0</v>
      </c>
    </row>
    <row r="214" spans="1:11">
      <c r="A214">
        <v>293</v>
      </c>
      <c r="B214">
        <v>27</v>
      </c>
      <c r="C214" t="s">
        <v>11</v>
      </c>
      <c r="D214" t="s">
        <v>12</v>
      </c>
      <c r="E214" t="s">
        <v>13</v>
      </c>
      <c r="F214">
        <v>9981</v>
      </c>
      <c r="G214">
        <v>3</v>
      </c>
      <c r="H214" t="s">
        <v>18</v>
      </c>
      <c r="I214">
        <v>7</v>
      </c>
      <c r="J214" t="s">
        <v>18</v>
      </c>
      <c r="K214">
        <f>IF($J214="Yes",1,0)</f>
        <v>0</v>
      </c>
    </row>
    <row r="215" spans="1:11">
      <c r="A215">
        <v>296</v>
      </c>
      <c r="B215">
        <v>51</v>
      </c>
      <c r="C215" t="s">
        <v>15</v>
      </c>
      <c r="D215" t="s">
        <v>16</v>
      </c>
      <c r="E215" t="s">
        <v>24</v>
      </c>
      <c r="F215">
        <v>12490</v>
      </c>
      <c r="G215">
        <v>2</v>
      </c>
      <c r="H215" t="s">
        <v>18</v>
      </c>
      <c r="I215">
        <v>10</v>
      </c>
      <c r="J215" t="s">
        <v>18</v>
      </c>
      <c r="K215">
        <f>IF($J215="Yes",1,0)</f>
        <v>0</v>
      </c>
    </row>
    <row r="216" spans="1:11">
      <c r="A216">
        <v>297</v>
      </c>
      <c r="B216">
        <v>30</v>
      </c>
      <c r="C216" t="s">
        <v>11</v>
      </c>
      <c r="D216" t="s">
        <v>16</v>
      </c>
      <c r="E216" t="s">
        <v>17</v>
      </c>
      <c r="F216">
        <v>2657</v>
      </c>
      <c r="G216">
        <v>1</v>
      </c>
      <c r="H216" t="s">
        <v>14</v>
      </c>
      <c r="I216">
        <v>5</v>
      </c>
      <c r="J216" t="s">
        <v>14</v>
      </c>
      <c r="K216">
        <f>IF($J216="Yes",1,0)</f>
        <v>1</v>
      </c>
    </row>
    <row r="217" spans="1:11">
      <c r="A217">
        <v>298</v>
      </c>
      <c r="B217">
        <v>41</v>
      </c>
      <c r="C217" t="s">
        <v>11</v>
      </c>
      <c r="D217" t="s">
        <v>12</v>
      </c>
      <c r="E217" t="s">
        <v>22</v>
      </c>
      <c r="F217">
        <v>13591</v>
      </c>
      <c r="G217">
        <v>4</v>
      </c>
      <c r="H217" t="s">
        <v>14</v>
      </c>
      <c r="I217">
        <v>1</v>
      </c>
      <c r="J217" t="s">
        <v>18</v>
      </c>
      <c r="K217">
        <f>IF($J217="Yes",1,0)</f>
        <v>0</v>
      </c>
    </row>
    <row r="218" spans="1:11">
      <c r="A218">
        <v>299</v>
      </c>
      <c r="B218">
        <v>30</v>
      </c>
      <c r="C218" t="s">
        <v>11</v>
      </c>
      <c r="D218" t="s">
        <v>12</v>
      </c>
      <c r="E218" t="s">
        <v>13</v>
      </c>
      <c r="F218">
        <v>6696</v>
      </c>
      <c r="G218">
        <v>1</v>
      </c>
      <c r="H218" t="s">
        <v>18</v>
      </c>
      <c r="I218">
        <v>6</v>
      </c>
      <c r="J218" t="s">
        <v>14</v>
      </c>
      <c r="K218">
        <f>IF($J218="Yes",1,0)</f>
        <v>1</v>
      </c>
    </row>
    <row r="219" spans="1:11">
      <c r="A219">
        <v>300</v>
      </c>
      <c r="B219">
        <v>29</v>
      </c>
      <c r="C219" t="s">
        <v>15</v>
      </c>
      <c r="D219" t="s">
        <v>16</v>
      </c>
      <c r="E219" t="s">
        <v>17</v>
      </c>
      <c r="F219">
        <v>2058</v>
      </c>
      <c r="G219">
        <v>3</v>
      </c>
      <c r="H219" t="s">
        <v>18</v>
      </c>
      <c r="I219">
        <v>6</v>
      </c>
      <c r="J219" t="s">
        <v>14</v>
      </c>
      <c r="K219">
        <f>IF($J219="Yes",1,0)</f>
        <v>1</v>
      </c>
    </row>
    <row r="220" spans="1:11">
      <c r="A220">
        <v>302</v>
      </c>
      <c r="B220">
        <v>45</v>
      </c>
      <c r="C220" t="s">
        <v>11</v>
      </c>
      <c r="D220" t="s">
        <v>12</v>
      </c>
      <c r="E220" t="s">
        <v>13</v>
      </c>
      <c r="F220">
        <v>8865</v>
      </c>
      <c r="G220">
        <v>4</v>
      </c>
      <c r="H220" t="s">
        <v>18</v>
      </c>
      <c r="I220">
        <v>19</v>
      </c>
      <c r="J220" t="s">
        <v>18</v>
      </c>
      <c r="K220">
        <f>IF($J220="Yes",1,0)</f>
        <v>0</v>
      </c>
    </row>
    <row r="221" spans="1:11">
      <c r="A221">
        <v>303</v>
      </c>
      <c r="B221">
        <v>54</v>
      </c>
      <c r="C221" t="s">
        <v>11</v>
      </c>
      <c r="D221" t="s">
        <v>12</v>
      </c>
      <c r="E221" t="s">
        <v>13</v>
      </c>
      <c r="F221">
        <v>5940</v>
      </c>
      <c r="G221">
        <v>1</v>
      </c>
      <c r="H221" t="s">
        <v>18</v>
      </c>
      <c r="I221">
        <v>6</v>
      </c>
      <c r="J221" t="s">
        <v>18</v>
      </c>
      <c r="K221">
        <f>IF($J221="Yes",1,0)</f>
        <v>0</v>
      </c>
    </row>
    <row r="222" spans="1:11">
      <c r="A222">
        <v>304</v>
      </c>
      <c r="B222">
        <v>36</v>
      </c>
      <c r="C222" t="s">
        <v>15</v>
      </c>
      <c r="D222" t="s">
        <v>16</v>
      </c>
      <c r="E222" t="s">
        <v>19</v>
      </c>
      <c r="F222">
        <v>5914</v>
      </c>
      <c r="G222">
        <v>2</v>
      </c>
      <c r="H222" t="s">
        <v>18</v>
      </c>
      <c r="I222">
        <v>13</v>
      </c>
      <c r="J222" t="s">
        <v>18</v>
      </c>
      <c r="K222">
        <f>IF($J222="Yes",1,0)</f>
        <v>0</v>
      </c>
    </row>
    <row r="223" spans="1:11">
      <c r="A223">
        <v>305</v>
      </c>
      <c r="B223">
        <v>33</v>
      </c>
      <c r="C223" t="s">
        <v>11</v>
      </c>
      <c r="D223" t="s">
        <v>16</v>
      </c>
      <c r="E223" t="s">
        <v>17</v>
      </c>
      <c r="F223">
        <v>2622</v>
      </c>
      <c r="G223">
        <v>2</v>
      </c>
      <c r="H223" t="s">
        <v>18</v>
      </c>
      <c r="I223">
        <v>3</v>
      </c>
      <c r="J223" t="s">
        <v>18</v>
      </c>
      <c r="K223">
        <f>IF($J223="Yes",1,0)</f>
        <v>0</v>
      </c>
    </row>
    <row r="224" spans="1:11">
      <c r="A224">
        <v>306</v>
      </c>
      <c r="B224">
        <v>37</v>
      </c>
      <c r="C224" t="s">
        <v>15</v>
      </c>
      <c r="D224" t="s">
        <v>16</v>
      </c>
      <c r="E224" t="s">
        <v>24</v>
      </c>
      <c r="F224">
        <v>12185</v>
      </c>
      <c r="G224">
        <v>4</v>
      </c>
      <c r="H224" t="s">
        <v>14</v>
      </c>
      <c r="I224">
        <v>10</v>
      </c>
      <c r="J224" t="s">
        <v>18</v>
      </c>
      <c r="K224">
        <f>IF($J224="Yes",1,0)</f>
        <v>0</v>
      </c>
    </row>
    <row r="225" spans="1:11">
      <c r="A225">
        <v>307</v>
      </c>
      <c r="B225">
        <v>38</v>
      </c>
      <c r="C225" t="s">
        <v>15</v>
      </c>
      <c r="D225" t="s">
        <v>12</v>
      </c>
      <c r="E225" t="s">
        <v>13</v>
      </c>
      <c r="F225">
        <v>10609</v>
      </c>
      <c r="G225">
        <v>3</v>
      </c>
      <c r="H225" t="s">
        <v>18</v>
      </c>
      <c r="I225">
        <v>16</v>
      </c>
      <c r="J225" t="s">
        <v>18</v>
      </c>
      <c r="K225">
        <f>IF($J225="Yes",1,0)</f>
        <v>0</v>
      </c>
    </row>
    <row r="226" spans="1:11">
      <c r="A226">
        <v>308</v>
      </c>
      <c r="B226">
        <v>31</v>
      </c>
      <c r="C226" t="s">
        <v>15</v>
      </c>
      <c r="D226" t="s">
        <v>16</v>
      </c>
      <c r="E226" t="s">
        <v>20</v>
      </c>
      <c r="F226">
        <v>4345</v>
      </c>
      <c r="G226">
        <v>3</v>
      </c>
      <c r="H226" t="s">
        <v>18</v>
      </c>
      <c r="I226">
        <v>5</v>
      </c>
      <c r="J226" t="s">
        <v>18</v>
      </c>
      <c r="K226">
        <f>IF($J226="Yes",1,0)</f>
        <v>0</v>
      </c>
    </row>
    <row r="227" spans="1:11">
      <c r="A227">
        <v>309</v>
      </c>
      <c r="B227">
        <v>59</v>
      </c>
      <c r="C227" t="s">
        <v>15</v>
      </c>
      <c r="D227" t="s">
        <v>16</v>
      </c>
      <c r="E227" t="s">
        <v>17</v>
      </c>
      <c r="F227">
        <v>2177</v>
      </c>
      <c r="G227">
        <v>4</v>
      </c>
      <c r="H227" t="s">
        <v>18</v>
      </c>
      <c r="I227">
        <v>1</v>
      </c>
      <c r="J227" t="s">
        <v>18</v>
      </c>
      <c r="K227">
        <f>IF($J227="Yes",1,0)</f>
        <v>0</v>
      </c>
    </row>
    <row r="228" spans="1:11">
      <c r="A228">
        <v>311</v>
      </c>
      <c r="B228">
        <v>37</v>
      </c>
      <c r="C228" t="s">
        <v>15</v>
      </c>
      <c r="D228" t="s">
        <v>12</v>
      </c>
      <c r="E228" t="s">
        <v>23</v>
      </c>
      <c r="F228">
        <v>2793</v>
      </c>
      <c r="G228">
        <v>4</v>
      </c>
      <c r="H228" t="s">
        <v>18</v>
      </c>
      <c r="I228">
        <v>9</v>
      </c>
      <c r="J228" t="s">
        <v>18</v>
      </c>
      <c r="K228">
        <f>IF($J228="Yes",1,0)</f>
        <v>0</v>
      </c>
    </row>
    <row r="229" spans="1:11">
      <c r="A229">
        <v>312</v>
      </c>
      <c r="B229">
        <v>29</v>
      </c>
      <c r="C229" t="s">
        <v>11</v>
      </c>
      <c r="D229" t="s">
        <v>12</v>
      </c>
      <c r="E229" t="s">
        <v>13</v>
      </c>
      <c r="F229">
        <v>7918</v>
      </c>
      <c r="G229">
        <v>4</v>
      </c>
      <c r="H229" t="s">
        <v>18</v>
      </c>
      <c r="I229">
        <v>11</v>
      </c>
      <c r="J229" t="s">
        <v>18</v>
      </c>
      <c r="K229">
        <f>IF($J229="Yes",1,0)</f>
        <v>0</v>
      </c>
    </row>
    <row r="230" spans="1:11">
      <c r="A230">
        <v>314</v>
      </c>
      <c r="B230">
        <v>35</v>
      </c>
      <c r="C230" t="s">
        <v>11</v>
      </c>
      <c r="D230" t="s">
        <v>12</v>
      </c>
      <c r="E230" t="s">
        <v>13</v>
      </c>
      <c r="F230">
        <v>8789</v>
      </c>
      <c r="G230">
        <v>3</v>
      </c>
      <c r="H230" t="s">
        <v>18</v>
      </c>
      <c r="I230">
        <v>10</v>
      </c>
      <c r="J230" t="s">
        <v>18</v>
      </c>
      <c r="K230">
        <f>IF($J230="Yes",1,0)</f>
        <v>0</v>
      </c>
    </row>
    <row r="231" spans="1:11">
      <c r="A231">
        <v>315</v>
      </c>
      <c r="B231">
        <v>29</v>
      </c>
      <c r="C231" t="s">
        <v>15</v>
      </c>
      <c r="D231" t="s">
        <v>16</v>
      </c>
      <c r="E231" t="s">
        <v>17</v>
      </c>
      <c r="F231">
        <v>2389</v>
      </c>
      <c r="G231">
        <v>4</v>
      </c>
      <c r="H231" t="s">
        <v>14</v>
      </c>
      <c r="I231">
        <v>4</v>
      </c>
      <c r="J231" t="s">
        <v>14</v>
      </c>
      <c r="K231">
        <f>IF($J231="Yes",1,0)</f>
        <v>1</v>
      </c>
    </row>
    <row r="232" spans="1:11">
      <c r="A232">
        <v>316</v>
      </c>
      <c r="B232">
        <v>52</v>
      </c>
      <c r="C232" t="s">
        <v>11</v>
      </c>
      <c r="D232" t="s">
        <v>16</v>
      </c>
      <c r="E232" t="s">
        <v>19</v>
      </c>
      <c r="F232">
        <v>3212</v>
      </c>
      <c r="G232">
        <v>4</v>
      </c>
      <c r="H232" t="s">
        <v>18</v>
      </c>
      <c r="I232">
        <v>2</v>
      </c>
      <c r="J232" t="s">
        <v>18</v>
      </c>
      <c r="K232">
        <f>IF($J232="Yes",1,0)</f>
        <v>0</v>
      </c>
    </row>
    <row r="233" spans="1:11">
      <c r="A233">
        <v>319</v>
      </c>
      <c r="B233">
        <v>42</v>
      </c>
      <c r="C233" t="s">
        <v>15</v>
      </c>
      <c r="D233" t="s">
        <v>16</v>
      </c>
      <c r="E233" t="s">
        <v>22</v>
      </c>
      <c r="F233">
        <v>19232</v>
      </c>
      <c r="G233">
        <v>4</v>
      </c>
      <c r="H233" t="s">
        <v>18</v>
      </c>
      <c r="I233">
        <v>22</v>
      </c>
      <c r="J233" t="s">
        <v>18</v>
      </c>
      <c r="K233">
        <f>IF($J233="Yes",1,0)</f>
        <v>0</v>
      </c>
    </row>
    <row r="234" spans="1:11">
      <c r="A234">
        <v>321</v>
      </c>
      <c r="B234">
        <v>59</v>
      </c>
      <c r="C234" t="s">
        <v>15</v>
      </c>
      <c r="D234" t="s">
        <v>25</v>
      </c>
      <c r="E234" t="s">
        <v>25</v>
      </c>
      <c r="F234">
        <v>2267</v>
      </c>
      <c r="G234">
        <v>3</v>
      </c>
      <c r="H234" t="s">
        <v>18</v>
      </c>
      <c r="I234">
        <v>2</v>
      </c>
      <c r="J234" t="s">
        <v>18</v>
      </c>
      <c r="K234">
        <f>IF($J234="Yes",1,0)</f>
        <v>0</v>
      </c>
    </row>
    <row r="235" spans="1:11">
      <c r="A235">
        <v>323</v>
      </c>
      <c r="B235">
        <v>50</v>
      </c>
      <c r="C235" t="s">
        <v>11</v>
      </c>
      <c r="D235" t="s">
        <v>12</v>
      </c>
      <c r="E235" t="s">
        <v>22</v>
      </c>
      <c r="F235">
        <v>19517</v>
      </c>
      <c r="G235">
        <v>4</v>
      </c>
      <c r="H235" t="s">
        <v>18</v>
      </c>
      <c r="I235">
        <v>7</v>
      </c>
      <c r="J235" t="s">
        <v>18</v>
      </c>
      <c r="K235">
        <f>IF($J235="Yes",1,0)</f>
        <v>0</v>
      </c>
    </row>
    <row r="236" spans="1:11">
      <c r="A236">
        <v>325</v>
      </c>
      <c r="B236">
        <v>33</v>
      </c>
      <c r="C236" t="s">
        <v>15</v>
      </c>
      <c r="D236" t="s">
        <v>16</v>
      </c>
      <c r="E236" t="s">
        <v>19</v>
      </c>
      <c r="F236">
        <v>2436</v>
      </c>
      <c r="G236">
        <v>4</v>
      </c>
      <c r="H236" t="s">
        <v>14</v>
      </c>
      <c r="I236">
        <v>5</v>
      </c>
      <c r="J236" t="s">
        <v>14</v>
      </c>
      <c r="K236">
        <f>IF($J236="Yes",1,0)</f>
        <v>1</v>
      </c>
    </row>
    <row r="237" spans="1:11">
      <c r="A237">
        <v>327</v>
      </c>
      <c r="B237">
        <v>43</v>
      </c>
      <c r="C237" t="s">
        <v>11</v>
      </c>
      <c r="D237" t="s">
        <v>12</v>
      </c>
      <c r="E237" t="s">
        <v>22</v>
      </c>
      <c r="F237">
        <v>16064</v>
      </c>
      <c r="G237">
        <v>4</v>
      </c>
      <c r="H237" t="s">
        <v>14</v>
      </c>
      <c r="I237">
        <v>17</v>
      </c>
      <c r="J237" t="s">
        <v>18</v>
      </c>
      <c r="K237">
        <f>IF($J237="Yes",1,0)</f>
        <v>0</v>
      </c>
    </row>
    <row r="238" spans="1:11">
      <c r="A238">
        <v>328</v>
      </c>
      <c r="B238">
        <v>33</v>
      </c>
      <c r="C238" t="s">
        <v>11</v>
      </c>
      <c r="D238" t="s">
        <v>16</v>
      </c>
      <c r="E238" t="s">
        <v>19</v>
      </c>
      <c r="F238">
        <v>2707</v>
      </c>
      <c r="G238">
        <v>1</v>
      </c>
      <c r="H238" t="s">
        <v>18</v>
      </c>
      <c r="I238">
        <v>9</v>
      </c>
      <c r="J238" t="s">
        <v>14</v>
      </c>
      <c r="K238">
        <f>IF($J238="Yes",1,0)</f>
        <v>1</v>
      </c>
    </row>
    <row r="239" spans="1:11">
      <c r="A239">
        <v>329</v>
      </c>
      <c r="B239">
        <v>52</v>
      </c>
      <c r="C239" t="s">
        <v>15</v>
      </c>
      <c r="D239" t="s">
        <v>12</v>
      </c>
      <c r="E239" t="s">
        <v>22</v>
      </c>
      <c r="F239">
        <v>19068</v>
      </c>
      <c r="G239">
        <v>3</v>
      </c>
      <c r="H239" t="s">
        <v>14</v>
      </c>
      <c r="I239">
        <v>33</v>
      </c>
      <c r="J239" t="s">
        <v>18</v>
      </c>
      <c r="K239">
        <f>IF($J239="Yes",1,0)</f>
        <v>0</v>
      </c>
    </row>
    <row r="240" spans="1:11">
      <c r="A240">
        <v>330</v>
      </c>
      <c r="B240">
        <v>32</v>
      </c>
      <c r="C240" t="s">
        <v>11</v>
      </c>
      <c r="D240" t="s">
        <v>12</v>
      </c>
      <c r="E240" t="s">
        <v>23</v>
      </c>
      <c r="F240">
        <v>3931</v>
      </c>
      <c r="G240">
        <v>2</v>
      </c>
      <c r="H240" t="s">
        <v>18</v>
      </c>
      <c r="I240">
        <v>4</v>
      </c>
      <c r="J240" t="s">
        <v>18</v>
      </c>
      <c r="K240">
        <f>IF($J240="Yes",1,0)</f>
        <v>0</v>
      </c>
    </row>
    <row r="241" spans="1:11">
      <c r="A241">
        <v>331</v>
      </c>
      <c r="B241">
        <v>32</v>
      </c>
      <c r="C241" t="s">
        <v>15</v>
      </c>
      <c r="D241" t="s">
        <v>16</v>
      </c>
      <c r="E241" t="s">
        <v>19</v>
      </c>
      <c r="F241">
        <v>3730</v>
      </c>
      <c r="G241">
        <v>3</v>
      </c>
      <c r="H241" t="s">
        <v>14</v>
      </c>
      <c r="I241">
        <v>3</v>
      </c>
      <c r="J241" t="s">
        <v>14</v>
      </c>
      <c r="K241">
        <f>IF($J241="Yes",1,0)</f>
        <v>1</v>
      </c>
    </row>
    <row r="242" spans="1:11">
      <c r="A242">
        <v>332</v>
      </c>
      <c r="B242">
        <v>39</v>
      </c>
      <c r="C242" t="s">
        <v>11</v>
      </c>
      <c r="D242" t="s">
        <v>16</v>
      </c>
      <c r="E242" t="s">
        <v>19</v>
      </c>
      <c r="F242">
        <v>2232</v>
      </c>
      <c r="G242">
        <v>3</v>
      </c>
      <c r="H242" t="s">
        <v>18</v>
      </c>
      <c r="I242">
        <v>3</v>
      </c>
      <c r="J242" t="s">
        <v>18</v>
      </c>
      <c r="K242">
        <f>IF($J242="Yes",1,0)</f>
        <v>0</v>
      </c>
    </row>
    <row r="243" spans="1:11">
      <c r="A243">
        <v>333</v>
      </c>
      <c r="B243">
        <v>32</v>
      </c>
      <c r="C243" t="s">
        <v>15</v>
      </c>
      <c r="D243" t="s">
        <v>12</v>
      </c>
      <c r="E243" t="s">
        <v>13</v>
      </c>
      <c r="F243">
        <v>4465</v>
      </c>
      <c r="G243">
        <v>4</v>
      </c>
      <c r="H243" t="s">
        <v>18</v>
      </c>
      <c r="I243">
        <v>3</v>
      </c>
      <c r="J243" t="s">
        <v>18</v>
      </c>
      <c r="K243">
        <f>IF($J243="Yes",1,0)</f>
        <v>0</v>
      </c>
    </row>
    <row r="244" spans="1:11">
      <c r="A244">
        <v>334</v>
      </c>
      <c r="B244">
        <v>41</v>
      </c>
      <c r="C244" t="s">
        <v>15</v>
      </c>
      <c r="D244" t="s">
        <v>16</v>
      </c>
      <c r="E244" t="s">
        <v>17</v>
      </c>
      <c r="F244">
        <v>3072</v>
      </c>
      <c r="G244">
        <v>1</v>
      </c>
      <c r="H244" t="s">
        <v>18</v>
      </c>
      <c r="I244">
        <v>1</v>
      </c>
      <c r="J244" t="s">
        <v>18</v>
      </c>
      <c r="K244">
        <f>IF($J244="Yes",1,0)</f>
        <v>0</v>
      </c>
    </row>
    <row r="245" spans="1:11">
      <c r="A245">
        <v>335</v>
      </c>
      <c r="B245">
        <v>40</v>
      </c>
      <c r="C245" t="s">
        <v>15</v>
      </c>
      <c r="D245" t="s">
        <v>16</v>
      </c>
      <c r="E245" t="s">
        <v>17</v>
      </c>
      <c r="F245">
        <v>3319</v>
      </c>
      <c r="G245">
        <v>4</v>
      </c>
      <c r="H245" t="s">
        <v>18</v>
      </c>
      <c r="I245">
        <v>9</v>
      </c>
      <c r="J245" t="s">
        <v>18</v>
      </c>
      <c r="K245">
        <f>IF($J245="Yes",1,0)</f>
        <v>0</v>
      </c>
    </row>
    <row r="246" spans="1:11">
      <c r="A246">
        <v>336</v>
      </c>
      <c r="B246">
        <v>45</v>
      </c>
      <c r="C246" t="s">
        <v>15</v>
      </c>
      <c r="D246" t="s">
        <v>16</v>
      </c>
      <c r="E246" t="s">
        <v>22</v>
      </c>
      <c r="F246">
        <v>19202</v>
      </c>
      <c r="G246">
        <v>4</v>
      </c>
      <c r="H246" t="s">
        <v>18</v>
      </c>
      <c r="I246">
        <v>24</v>
      </c>
      <c r="J246" t="s">
        <v>18</v>
      </c>
      <c r="K246">
        <f>IF($J246="Yes",1,0)</f>
        <v>0</v>
      </c>
    </row>
    <row r="247" spans="1:11">
      <c r="A247">
        <v>337</v>
      </c>
      <c r="B247">
        <v>31</v>
      </c>
      <c r="C247" t="s">
        <v>15</v>
      </c>
      <c r="D247" t="s">
        <v>16</v>
      </c>
      <c r="E247" t="s">
        <v>24</v>
      </c>
      <c r="F247">
        <v>13675</v>
      </c>
      <c r="G247">
        <v>3</v>
      </c>
      <c r="H247" t="s">
        <v>18</v>
      </c>
      <c r="I247">
        <v>2</v>
      </c>
      <c r="J247" t="s">
        <v>18</v>
      </c>
      <c r="K247">
        <f>IF($J247="Yes",1,0)</f>
        <v>0</v>
      </c>
    </row>
    <row r="248" spans="1:11">
      <c r="A248">
        <v>338</v>
      </c>
      <c r="B248">
        <v>33</v>
      </c>
      <c r="C248" t="s">
        <v>11</v>
      </c>
      <c r="D248" t="s">
        <v>16</v>
      </c>
      <c r="E248" t="s">
        <v>17</v>
      </c>
      <c r="F248">
        <v>2911</v>
      </c>
      <c r="G248">
        <v>4</v>
      </c>
      <c r="H248" t="s">
        <v>18</v>
      </c>
      <c r="I248">
        <v>2</v>
      </c>
      <c r="J248" t="s">
        <v>18</v>
      </c>
      <c r="K248">
        <f>IF($J248="Yes",1,0)</f>
        <v>0</v>
      </c>
    </row>
    <row r="249" spans="1:11">
      <c r="A249">
        <v>339</v>
      </c>
      <c r="B249">
        <v>34</v>
      </c>
      <c r="C249" t="s">
        <v>15</v>
      </c>
      <c r="D249" t="s">
        <v>16</v>
      </c>
      <c r="E249" t="s">
        <v>20</v>
      </c>
      <c r="F249">
        <v>5957</v>
      </c>
      <c r="G249">
        <v>1</v>
      </c>
      <c r="H249" t="s">
        <v>18</v>
      </c>
      <c r="I249">
        <v>11</v>
      </c>
      <c r="J249" t="s">
        <v>18</v>
      </c>
      <c r="K249">
        <f>IF($J249="Yes",1,0)</f>
        <v>0</v>
      </c>
    </row>
    <row r="250" spans="1:11">
      <c r="A250">
        <v>340</v>
      </c>
      <c r="B250">
        <v>37</v>
      </c>
      <c r="C250" t="s">
        <v>11</v>
      </c>
      <c r="D250" t="s">
        <v>16</v>
      </c>
      <c r="E250" t="s">
        <v>17</v>
      </c>
      <c r="F250">
        <v>3920</v>
      </c>
      <c r="G250">
        <v>1</v>
      </c>
      <c r="H250" t="s">
        <v>18</v>
      </c>
      <c r="I250">
        <v>3</v>
      </c>
      <c r="J250" t="s">
        <v>18</v>
      </c>
      <c r="K250">
        <f>IF($J250="Yes",1,0)</f>
        <v>0</v>
      </c>
    </row>
    <row r="251" spans="1:11">
      <c r="A251">
        <v>341</v>
      </c>
      <c r="B251">
        <v>45</v>
      </c>
      <c r="C251" t="s">
        <v>15</v>
      </c>
      <c r="D251" t="s">
        <v>16</v>
      </c>
      <c r="E251" t="s">
        <v>20</v>
      </c>
      <c r="F251">
        <v>6434</v>
      </c>
      <c r="G251">
        <v>3</v>
      </c>
      <c r="H251" t="s">
        <v>18</v>
      </c>
      <c r="I251">
        <v>3</v>
      </c>
      <c r="J251" t="s">
        <v>18</v>
      </c>
      <c r="K251">
        <f>IF($J251="Yes",1,0)</f>
        <v>0</v>
      </c>
    </row>
    <row r="252" spans="1:11">
      <c r="A252">
        <v>342</v>
      </c>
      <c r="B252">
        <v>37</v>
      </c>
      <c r="C252" t="s">
        <v>15</v>
      </c>
      <c r="D252" t="s">
        <v>16</v>
      </c>
      <c r="E252" t="s">
        <v>20</v>
      </c>
      <c r="F252">
        <v>10048</v>
      </c>
      <c r="G252">
        <v>3</v>
      </c>
      <c r="H252" t="s">
        <v>18</v>
      </c>
      <c r="I252">
        <v>1</v>
      </c>
      <c r="J252" t="s">
        <v>14</v>
      </c>
      <c r="K252">
        <f>IF($J252="Yes",1,0)</f>
        <v>1</v>
      </c>
    </row>
    <row r="253" spans="1:11">
      <c r="A253">
        <v>343</v>
      </c>
      <c r="B253">
        <v>39</v>
      </c>
      <c r="C253" t="s">
        <v>11</v>
      </c>
      <c r="D253" t="s">
        <v>16</v>
      </c>
      <c r="E253" t="s">
        <v>21</v>
      </c>
      <c r="F253">
        <v>10938</v>
      </c>
      <c r="G253">
        <v>3</v>
      </c>
      <c r="H253" t="s">
        <v>18</v>
      </c>
      <c r="I253">
        <v>19</v>
      </c>
      <c r="J253" t="s">
        <v>18</v>
      </c>
      <c r="K253">
        <f>IF($J253="Yes",1,0)</f>
        <v>0</v>
      </c>
    </row>
    <row r="254" spans="1:11">
      <c r="A254">
        <v>346</v>
      </c>
      <c r="B254">
        <v>29</v>
      </c>
      <c r="C254" t="s">
        <v>15</v>
      </c>
      <c r="D254" t="s">
        <v>16</v>
      </c>
      <c r="E254" t="s">
        <v>17</v>
      </c>
      <c r="F254">
        <v>2340</v>
      </c>
      <c r="G254">
        <v>4</v>
      </c>
      <c r="H254" t="s">
        <v>18</v>
      </c>
      <c r="I254">
        <v>6</v>
      </c>
      <c r="J254" t="s">
        <v>18</v>
      </c>
      <c r="K254">
        <f>IF($J254="Yes",1,0)</f>
        <v>0</v>
      </c>
    </row>
    <row r="255" spans="1:11">
      <c r="A255">
        <v>347</v>
      </c>
      <c r="B255">
        <v>42</v>
      </c>
      <c r="C255" t="s">
        <v>11</v>
      </c>
      <c r="D255" t="s">
        <v>16</v>
      </c>
      <c r="E255" t="s">
        <v>17</v>
      </c>
      <c r="F255">
        <v>6545</v>
      </c>
      <c r="G255">
        <v>1</v>
      </c>
      <c r="H255" t="s">
        <v>14</v>
      </c>
      <c r="I255">
        <v>3</v>
      </c>
      <c r="J255" t="s">
        <v>18</v>
      </c>
      <c r="K255">
        <f>IF($J255="Yes",1,0)</f>
        <v>0</v>
      </c>
    </row>
    <row r="256" spans="1:11">
      <c r="A256">
        <v>349</v>
      </c>
      <c r="B256">
        <v>29</v>
      </c>
      <c r="C256" t="s">
        <v>15</v>
      </c>
      <c r="D256" t="s">
        <v>12</v>
      </c>
      <c r="E256" t="s">
        <v>13</v>
      </c>
      <c r="F256">
        <v>6931</v>
      </c>
      <c r="G256">
        <v>4</v>
      </c>
      <c r="H256" t="s">
        <v>18</v>
      </c>
      <c r="I256">
        <v>3</v>
      </c>
      <c r="J256" t="s">
        <v>18</v>
      </c>
      <c r="K256">
        <f>IF($J256="Yes",1,0)</f>
        <v>0</v>
      </c>
    </row>
    <row r="257" spans="1:11">
      <c r="A257">
        <v>350</v>
      </c>
      <c r="B257">
        <v>25</v>
      </c>
      <c r="C257" t="s">
        <v>11</v>
      </c>
      <c r="D257" t="s">
        <v>16</v>
      </c>
      <c r="E257" t="s">
        <v>20</v>
      </c>
      <c r="F257">
        <v>4898</v>
      </c>
      <c r="G257">
        <v>3</v>
      </c>
      <c r="H257" t="s">
        <v>18</v>
      </c>
      <c r="I257">
        <v>4</v>
      </c>
      <c r="J257" t="s">
        <v>18</v>
      </c>
      <c r="K257">
        <f>IF($J257="Yes",1,0)</f>
        <v>0</v>
      </c>
    </row>
    <row r="258" spans="1:11">
      <c r="A258">
        <v>351</v>
      </c>
      <c r="B258">
        <v>42</v>
      </c>
      <c r="C258" t="s">
        <v>11</v>
      </c>
      <c r="D258" t="s">
        <v>16</v>
      </c>
      <c r="E258" t="s">
        <v>19</v>
      </c>
      <c r="F258">
        <v>2593</v>
      </c>
      <c r="G258">
        <v>1</v>
      </c>
      <c r="H258" t="s">
        <v>14</v>
      </c>
      <c r="I258">
        <v>9</v>
      </c>
      <c r="J258" t="s">
        <v>18</v>
      </c>
      <c r="K258">
        <f>IF($J258="Yes",1,0)</f>
        <v>0</v>
      </c>
    </row>
    <row r="259" spans="1:11">
      <c r="A259">
        <v>352</v>
      </c>
      <c r="B259">
        <v>40</v>
      </c>
      <c r="C259" t="s">
        <v>15</v>
      </c>
      <c r="D259" t="s">
        <v>16</v>
      </c>
      <c r="E259" t="s">
        <v>24</v>
      </c>
      <c r="F259">
        <v>19436</v>
      </c>
      <c r="G259">
        <v>3</v>
      </c>
      <c r="H259" t="s">
        <v>18</v>
      </c>
      <c r="I259">
        <v>21</v>
      </c>
      <c r="J259" t="s">
        <v>18</v>
      </c>
      <c r="K259">
        <f>IF($J259="Yes",1,0)</f>
        <v>0</v>
      </c>
    </row>
    <row r="260" spans="1:11">
      <c r="A260">
        <v>353</v>
      </c>
      <c r="B260">
        <v>51</v>
      </c>
      <c r="C260" t="s">
        <v>15</v>
      </c>
      <c r="D260" t="s">
        <v>16</v>
      </c>
      <c r="E260" t="s">
        <v>17</v>
      </c>
      <c r="F260">
        <v>2723</v>
      </c>
      <c r="G260">
        <v>4</v>
      </c>
      <c r="H260" t="s">
        <v>18</v>
      </c>
      <c r="I260">
        <v>1</v>
      </c>
      <c r="J260" t="s">
        <v>18</v>
      </c>
      <c r="K260">
        <f>IF($J260="Yes",1,0)</f>
        <v>0</v>
      </c>
    </row>
    <row r="261" spans="1:11">
      <c r="A261">
        <v>355</v>
      </c>
      <c r="B261">
        <v>31</v>
      </c>
      <c r="C261" t="s">
        <v>15</v>
      </c>
      <c r="D261" t="s">
        <v>16</v>
      </c>
      <c r="E261" t="s">
        <v>19</v>
      </c>
      <c r="F261">
        <v>3479</v>
      </c>
      <c r="G261">
        <v>2</v>
      </c>
      <c r="H261" t="s">
        <v>18</v>
      </c>
      <c r="I261">
        <v>5</v>
      </c>
      <c r="J261" t="s">
        <v>14</v>
      </c>
      <c r="K261">
        <f>IF($J261="Yes",1,0)</f>
        <v>1</v>
      </c>
    </row>
    <row r="262" spans="1:11">
      <c r="A262">
        <v>359</v>
      </c>
      <c r="B262">
        <v>32</v>
      </c>
      <c r="C262" t="s">
        <v>15</v>
      </c>
      <c r="D262" t="s">
        <v>16</v>
      </c>
      <c r="E262" t="s">
        <v>19</v>
      </c>
      <c r="F262">
        <v>2794</v>
      </c>
      <c r="G262">
        <v>2</v>
      </c>
      <c r="H262" t="s">
        <v>18</v>
      </c>
      <c r="I262">
        <v>5</v>
      </c>
      <c r="J262" t="s">
        <v>18</v>
      </c>
      <c r="K262">
        <f>IF($J262="Yes",1,0)</f>
        <v>0</v>
      </c>
    </row>
    <row r="263" spans="1:11">
      <c r="A263">
        <v>361</v>
      </c>
      <c r="B263">
        <v>38</v>
      </c>
      <c r="C263" t="s">
        <v>15</v>
      </c>
      <c r="D263" t="s">
        <v>12</v>
      </c>
      <c r="E263" t="s">
        <v>13</v>
      </c>
      <c r="F263">
        <v>5249</v>
      </c>
      <c r="G263">
        <v>4</v>
      </c>
      <c r="H263" t="s">
        <v>18</v>
      </c>
      <c r="I263">
        <v>8</v>
      </c>
      <c r="J263" t="s">
        <v>18</v>
      </c>
      <c r="K263">
        <f>IF($J263="Yes",1,0)</f>
        <v>0</v>
      </c>
    </row>
    <row r="264" spans="1:11">
      <c r="A264">
        <v>362</v>
      </c>
      <c r="B264">
        <v>32</v>
      </c>
      <c r="C264" t="s">
        <v>15</v>
      </c>
      <c r="D264" t="s">
        <v>16</v>
      </c>
      <c r="E264" t="s">
        <v>19</v>
      </c>
      <c r="F264">
        <v>2176</v>
      </c>
      <c r="G264">
        <v>1</v>
      </c>
      <c r="H264" t="s">
        <v>18</v>
      </c>
      <c r="I264">
        <v>6</v>
      </c>
      <c r="J264" t="s">
        <v>18</v>
      </c>
      <c r="K264">
        <f>IF($J264="Yes",1,0)</f>
        <v>0</v>
      </c>
    </row>
    <row r="265" spans="1:11">
      <c r="A265">
        <v>363</v>
      </c>
      <c r="B265">
        <v>46</v>
      </c>
      <c r="C265" t="s">
        <v>11</v>
      </c>
      <c r="D265" t="s">
        <v>12</v>
      </c>
      <c r="E265" t="s">
        <v>22</v>
      </c>
      <c r="F265">
        <v>16872</v>
      </c>
      <c r="G265">
        <v>2</v>
      </c>
      <c r="H265" t="s">
        <v>14</v>
      </c>
      <c r="I265">
        <v>7</v>
      </c>
      <c r="J265" t="s">
        <v>18</v>
      </c>
      <c r="K265">
        <f>IF($J265="Yes",1,0)</f>
        <v>0</v>
      </c>
    </row>
    <row r="266" spans="1:11">
      <c r="A266">
        <v>364</v>
      </c>
      <c r="B266">
        <v>28</v>
      </c>
      <c r="C266" t="s">
        <v>15</v>
      </c>
      <c r="D266" t="s">
        <v>16</v>
      </c>
      <c r="E266" t="s">
        <v>19</v>
      </c>
      <c r="F266">
        <v>3485</v>
      </c>
      <c r="G266">
        <v>3</v>
      </c>
      <c r="H266" t="s">
        <v>18</v>
      </c>
      <c r="I266">
        <v>0</v>
      </c>
      <c r="J266" t="s">
        <v>14</v>
      </c>
      <c r="K266">
        <f>IF($J266="Yes",1,0)</f>
        <v>1</v>
      </c>
    </row>
    <row r="267" spans="1:11">
      <c r="A267">
        <v>366</v>
      </c>
      <c r="B267">
        <v>29</v>
      </c>
      <c r="C267" t="s">
        <v>15</v>
      </c>
      <c r="D267" t="s">
        <v>12</v>
      </c>
      <c r="E267" t="s">
        <v>13</v>
      </c>
      <c r="F267">
        <v>6644</v>
      </c>
      <c r="G267">
        <v>2</v>
      </c>
      <c r="H267" t="s">
        <v>18</v>
      </c>
      <c r="I267">
        <v>0</v>
      </c>
      <c r="J267" t="s">
        <v>18</v>
      </c>
      <c r="K267">
        <f>IF($J267="Yes",1,0)</f>
        <v>0</v>
      </c>
    </row>
    <row r="268" spans="1:11">
      <c r="A268">
        <v>367</v>
      </c>
      <c r="B268">
        <v>31</v>
      </c>
      <c r="C268" t="s">
        <v>15</v>
      </c>
      <c r="D268" t="s">
        <v>16</v>
      </c>
      <c r="E268" t="s">
        <v>21</v>
      </c>
      <c r="F268">
        <v>5582</v>
      </c>
      <c r="G268">
        <v>4</v>
      </c>
      <c r="H268" t="s">
        <v>18</v>
      </c>
      <c r="I268">
        <v>9</v>
      </c>
      <c r="J268" t="s">
        <v>18</v>
      </c>
      <c r="K268">
        <f>IF($J268="Yes",1,0)</f>
        <v>0</v>
      </c>
    </row>
    <row r="269" spans="1:11">
      <c r="A269">
        <v>369</v>
      </c>
      <c r="B269">
        <v>25</v>
      </c>
      <c r="C269" t="s">
        <v>15</v>
      </c>
      <c r="D269" t="s">
        <v>16</v>
      </c>
      <c r="E269" t="s">
        <v>21</v>
      </c>
      <c r="F269">
        <v>4000</v>
      </c>
      <c r="G269">
        <v>1</v>
      </c>
      <c r="H269" t="s">
        <v>18</v>
      </c>
      <c r="I269">
        <v>6</v>
      </c>
      <c r="J269" t="s">
        <v>18</v>
      </c>
      <c r="K269">
        <f>IF($J269="Yes",1,0)</f>
        <v>0</v>
      </c>
    </row>
    <row r="270" spans="1:11">
      <c r="A270">
        <v>372</v>
      </c>
      <c r="B270">
        <v>45</v>
      </c>
      <c r="C270" t="s">
        <v>15</v>
      </c>
      <c r="D270" t="s">
        <v>16</v>
      </c>
      <c r="E270" t="s">
        <v>21</v>
      </c>
      <c r="F270">
        <v>13496</v>
      </c>
      <c r="G270">
        <v>4</v>
      </c>
      <c r="H270" t="s">
        <v>14</v>
      </c>
      <c r="I270">
        <v>20</v>
      </c>
      <c r="J270" t="s">
        <v>18</v>
      </c>
      <c r="K270">
        <f>IF($J270="Yes",1,0)</f>
        <v>0</v>
      </c>
    </row>
    <row r="271" spans="1:11">
      <c r="A271">
        <v>373</v>
      </c>
      <c r="B271">
        <v>36</v>
      </c>
      <c r="C271" t="s">
        <v>15</v>
      </c>
      <c r="D271" t="s">
        <v>16</v>
      </c>
      <c r="E271" t="s">
        <v>19</v>
      </c>
      <c r="F271">
        <v>3210</v>
      </c>
      <c r="G271">
        <v>4</v>
      </c>
      <c r="H271" t="s">
        <v>18</v>
      </c>
      <c r="I271">
        <v>15</v>
      </c>
      <c r="J271" t="s">
        <v>18</v>
      </c>
      <c r="K271">
        <f>IF($J271="Yes",1,0)</f>
        <v>0</v>
      </c>
    </row>
    <row r="272" spans="1:11">
      <c r="A272">
        <v>374</v>
      </c>
      <c r="B272">
        <v>55</v>
      </c>
      <c r="C272" t="s">
        <v>15</v>
      </c>
      <c r="D272" t="s">
        <v>16</v>
      </c>
      <c r="E272" t="s">
        <v>22</v>
      </c>
      <c r="F272">
        <v>19045</v>
      </c>
      <c r="G272">
        <v>1</v>
      </c>
      <c r="H272" t="s">
        <v>14</v>
      </c>
      <c r="I272">
        <v>36</v>
      </c>
      <c r="J272" t="s">
        <v>18</v>
      </c>
      <c r="K272">
        <f>IF($J272="Yes",1,0)</f>
        <v>0</v>
      </c>
    </row>
    <row r="273" spans="1:11">
      <c r="A273">
        <v>376</v>
      </c>
      <c r="B273">
        <v>47</v>
      </c>
      <c r="C273" t="s">
        <v>15</v>
      </c>
      <c r="D273" t="s">
        <v>16</v>
      </c>
      <c r="E273" t="s">
        <v>22</v>
      </c>
      <c r="F273">
        <v>11849</v>
      </c>
      <c r="G273">
        <v>2</v>
      </c>
      <c r="H273" t="s">
        <v>14</v>
      </c>
      <c r="I273">
        <v>10</v>
      </c>
      <c r="J273" t="s">
        <v>14</v>
      </c>
      <c r="K273">
        <f>IF($J273="Yes",1,0)</f>
        <v>1</v>
      </c>
    </row>
    <row r="274" spans="1:11">
      <c r="A274">
        <v>377</v>
      </c>
      <c r="B274">
        <v>28</v>
      </c>
      <c r="C274" t="s">
        <v>15</v>
      </c>
      <c r="D274" t="s">
        <v>16</v>
      </c>
      <c r="E274" t="s">
        <v>17</v>
      </c>
      <c r="F274">
        <v>2070</v>
      </c>
      <c r="G274">
        <v>4</v>
      </c>
      <c r="H274" t="s">
        <v>18</v>
      </c>
      <c r="I274">
        <v>5</v>
      </c>
      <c r="J274" t="s">
        <v>18</v>
      </c>
      <c r="K274">
        <f>IF($J274="Yes",1,0)</f>
        <v>0</v>
      </c>
    </row>
    <row r="275" spans="1:11">
      <c r="A275">
        <v>378</v>
      </c>
      <c r="B275">
        <v>37</v>
      </c>
      <c r="C275" t="s">
        <v>15</v>
      </c>
      <c r="D275" t="s">
        <v>12</v>
      </c>
      <c r="E275" t="s">
        <v>13</v>
      </c>
      <c r="F275">
        <v>6502</v>
      </c>
      <c r="G275">
        <v>4</v>
      </c>
      <c r="H275" t="s">
        <v>18</v>
      </c>
      <c r="I275">
        <v>5</v>
      </c>
      <c r="J275" t="s">
        <v>18</v>
      </c>
      <c r="K275">
        <f>IF($J275="Yes",1,0)</f>
        <v>0</v>
      </c>
    </row>
    <row r="276" spans="1:11">
      <c r="A276">
        <v>379</v>
      </c>
      <c r="B276">
        <v>21</v>
      </c>
      <c r="C276" t="s">
        <v>15</v>
      </c>
      <c r="D276" t="s">
        <v>16</v>
      </c>
      <c r="E276" t="s">
        <v>17</v>
      </c>
      <c r="F276">
        <v>3230</v>
      </c>
      <c r="G276">
        <v>3</v>
      </c>
      <c r="H276" t="s">
        <v>18</v>
      </c>
      <c r="I276">
        <v>3</v>
      </c>
      <c r="J276" t="s">
        <v>18</v>
      </c>
      <c r="K276">
        <f>IF($J276="Yes",1,0)</f>
        <v>0</v>
      </c>
    </row>
    <row r="277" spans="1:11">
      <c r="A277">
        <v>380</v>
      </c>
      <c r="B277">
        <v>37</v>
      </c>
      <c r="C277" t="s">
        <v>11</v>
      </c>
      <c r="D277" t="s">
        <v>16</v>
      </c>
      <c r="E277" t="s">
        <v>24</v>
      </c>
      <c r="F277">
        <v>13603</v>
      </c>
      <c r="G277">
        <v>4</v>
      </c>
      <c r="H277" t="s">
        <v>14</v>
      </c>
      <c r="I277">
        <v>5</v>
      </c>
      <c r="J277" t="s">
        <v>18</v>
      </c>
      <c r="K277">
        <f>IF($J277="Yes",1,0)</f>
        <v>0</v>
      </c>
    </row>
    <row r="278" spans="1:11">
      <c r="A278">
        <v>381</v>
      </c>
      <c r="B278">
        <v>35</v>
      </c>
      <c r="C278" t="s">
        <v>11</v>
      </c>
      <c r="D278" t="s">
        <v>16</v>
      </c>
      <c r="E278" t="s">
        <v>22</v>
      </c>
      <c r="F278">
        <v>11996</v>
      </c>
      <c r="G278">
        <v>2</v>
      </c>
      <c r="H278" t="s">
        <v>18</v>
      </c>
      <c r="I278">
        <v>7</v>
      </c>
      <c r="J278" t="s">
        <v>18</v>
      </c>
      <c r="K278">
        <f>IF($J278="Yes",1,0)</f>
        <v>0</v>
      </c>
    </row>
    <row r="279" spans="1:11">
      <c r="A279">
        <v>382</v>
      </c>
      <c r="B279">
        <v>38</v>
      </c>
      <c r="C279" t="s">
        <v>11</v>
      </c>
      <c r="D279" t="s">
        <v>12</v>
      </c>
      <c r="E279" t="s">
        <v>13</v>
      </c>
      <c r="F279">
        <v>5605</v>
      </c>
      <c r="G279">
        <v>1</v>
      </c>
      <c r="H279" t="s">
        <v>14</v>
      </c>
      <c r="I279">
        <v>8</v>
      </c>
      <c r="J279" t="s">
        <v>18</v>
      </c>
      <c r="K279">
        <f>IF($J279="Yes",1,0)</f>
        <v>0</v>
      </c>
    </row>
    <row r="280" spans="1:11">
      <c r="A280">
        <v>384</v>
      </c>
      <c r="B280">
        <v>26</v>
      </c>
      <c r="C280" t="s">
        <v>11</v>
      </c>
      <c r="D280" t="s">
        <v>16</v>
      </c>
      <c r="E280" t="s">
        <v>20</v>
      </c>
      <c r="F280">
        <v>6397</v>
      </c>
      <c r="G280">
        <v>2</v>
      </c>
      <c r="H280" t="s">
        <v>18</v>
      </c>
      <c r="I280">
        <v>6</v>
      </c>
      <c r="J280" t="s">
        <v>18</v>
      </c>
      <c r="K280">
        <f>IF($J280="Yes",1,0)</f>
        <v>0</v>
      </c>
    </row>
    <row r="281" spans="1:11">
      <c r="A281">
        <v>385</v>
      </c>
      <c r="B281">
        <v>50</v>
      </c>
      <c r="C281" t="s">
        <v>15</v>
      </c>
      <c r="D281" t="s">
        <v>16</v>
      </c>
      <c r="E281" t="s">
        <v>24</v>
      </c>
      <c r="F281">
        <v>19144</v>
      </c>
      <c r="G281">
        <v>2</v>
      </c>
      <c r="H281" t="s">
        <v>18</v>
      </c>
      <c r="I281">
        <v>10</v>
      </c>
      <c r="J281" t="s">
        <v>18</v>
      </c>
      <c r="K281">
        <f>IF($J281="Yes",1,0)</f>
        <v>0</v>
      </c>
    </row>
    <row r="282" spans="1:11">
      <c r="A282">
        <v>386</v>
      </c>
      <c r="B282">
        <v>53</v>
      </c>
      <c r="C282" t="s">
        <v>15</v>
      </c>
      <c r="D282" t="s">
        <v>16</v>
      </c>
      <c r="E282" t="s">
        <v>24</v>
      </c>
      <c r="F282">
        <v>17584</v>
      </c>
      <c r="G282">
        <v>3</v>
      </c>
      <c r="H282" t="s">
        <v>14</v>
      </c>
      <c r="I282">
        <v>5</v>
      </c>
      <c r="J282" t="s">
        <v>18</v>
      </c>
      <c r="K282">
        <f>IF($J282="Yes",1,0)</f>
        <v>0</v>
      </c>
    </row>
    <row r="283" spans="1:11">
      <c r="A283">
        <v>387</v>
      </c>
      <c r="B283">
        <v>42</v>
      </c>
      <c r="C283" t="s">
        <v>15</v>
      </c>
      <c r="D283" t="s">
        <v>12</v>
      </c>
      <c r="E283" t="s">
        <v>13</v>
      </c>
      <c r="F283">
        <v>4907</v>
      </c>
      <c r="G283">
        <v>3</v>
      </c>
      <c r="H283" t="s">
        <v>18</v>
      </c>
      <c r="I283">
        <v>20</v>
      </c>
      <c r="J283" t="s">
        <v>18</v>
      </c>
      <c r="K283">
        <f>IF($J283="Yes",1,0)</f>
        <v>0</v>
      </c>
    </row>
    <row r="284" spans="1:11">
      <c r="A284">
        <v>388</v>
      </c>
      <c r="B284">
        <v>29</v>
      </c>
      <c r="C284" t="s">
        <v>15</v>
      </c>
      <c r="D284" t="s">
        <v>12</v>
      </c>
      <c r="E284" t="s">
        <v>13</v>
      </c>
      <c r="F284">
        <v>4554</v>
      </c>
      <c r="G284">
        <v>4</v>
      </c>
      <c r="H284" t="s">
        <v>18</v>
      </c>
      <c r="I284">
        <v>10</v>
      </c>
      <c r="J284" t="s">
        <v>18</v>
      </c>
      <c r="K284">
        <f>IF($J284="Yes",1,0)</f>
        <v>0</v>
      </c>
    </row>
    <row r="285" spans="1:11">
      <c r="A285">
        <v>389</v>
      </c>
      <c r="B285">
        <v>55</v>
      </c>
      <c r="C285" t="s">
        <v>15</v>
      </c>
      <c r="D285" t="s">
        <v>16</v>
      </c>
      <c r="E285" t="s">
        <v>19</v>
      </c>
      <c r="F285">
        <v>5415</v>
      </c>
      <c r="G285">
        <v>4</v>
      </c>
      <c r="H285" t="s">
        <v>14</v>
      </c>
      <c r="I285">
        <v>10</v>
      </c>
      <c r="J285" t="s">
        <v>18</v>
      </c>
      <c r="K285">
        <f>IF($J285="Yes",1,0)</f>
        <v>0</v>
      </c>
    </row>
    <row r="286" spans="1:11">
      <c r="A286">
        <v>390</v>
      </c>
      <c r="B286">
        <v>26</v>
      </c>
      <c r="C286" t="s">
        <v>15</v>
      </c>
      <c r="D286" t="s">
        <v>16</v>
      </c>
      <c r="E286" t="s">
        <v>21</v>
      </c>
      <c r="F286">
        <v>4741</v>
      </c>
      <c r="G286">
        <v>1</v>
      </c>
      <c r="H286" t="s">
        <v>14</v>
      </c>
      <c r="I286">
        <v>5</v>
      </c>
      <c r="J286" t="s">
        <v>18</v>
      </c>
      <c r="K286">
        <f>IF($J286="Yes",1,0)</f>
        <v>0</v>
      </c>
    </row>
    <row r="287" spans="1:11">
      <c r="A287">
        <v>391</v>
      </c>
      <c r="B287">
        <v>37</v>
      </c>
      <c r="C287" t="s">
        <v>11</v>
      </c>
      <c r="D287" t="s">
        <v>16</v>
      </c>
      <c r="E287" t="s">
        <v>17</v>
      </c>
      <c r="F287">
        <v>2115</v>
      </c>
      <c r="G287">
        <v>4</v>
      </c>
      <c r="H287" t="s">
        <v>18</v>
      </c>
      <c r="I287">
        <v>17</v>
      </c>
      <c r="J287" t="s">
        <v>18</v>
      </c>
      <c r="K287">
        <f>IF($J287="Yes",1,0)</f>
        <v>0</v>
      </c>
    </row>
    <row r="288" spans="1:11">
      <c r="A288">
        <v>392</v>
      </c>
      <c r="B288">
        <v>44</v>
      </c>
      <c r="C288" t="s">
        <v>15</v>
      </c>
      <c r="D288" t="s">
        <v>16</v>
      </c>
      <c r="E288" t="s">
        <v>19</v>
      </c>
      <c r="F288">
        <v>3161</v>
      </c>
      <c r="G288">
        <v>3</v>
      </c>
      <c r="H288" t="s">
        <v>14</v>
      </c>
      <c r="I288">
        <v>1</v>
      </c>
      <c r="J288" t="s">
        <v>14</v>
      </c>
      <c r="K288">
        <f>IF($J288="Yes",1,0)</f>
        <v>1</v>
      </c>
    </row>
    <row r="289" spans="1:11">
      <c r="A289">
        <v>393</v>
      </c>
      <c r="B289">
        <v>38</v>
      </c>
      <c r="C289" t="s">
        <v>15</v>
      </c>
      <c r="D289" t="s">
        <v>16</v>
      </c>
      <c r="E289" t="s">
        <v>21</v>
      </c>
      <c r="F289">
        <v>5745</v>
      </c>
      <c r="G289">
        <v>4</v>
      </c>
      <c r="H289" t="s">
        <v>18</v>
      </c>
      <c r="I289">
        <v>2</v>
      </c>
      <c r="J289" t="s">
        <v>18</v>
      </c>
      <c r="K289">
        <f>IF($J289="Yes",1,0)</f>
        <v>0</v>
      </c>
    </row>
    <row r="290" spans="1:11">
      <c r="A290">
        <v>394</v>
      </c>
      <c r="B290">
        <v>26</v>
      </c>
      <c r="C290" t="s">
        <v>15</v>
      </c>
      <c r="D290" t="s">
        <v>16</v>
      </c>
      <c r="E290" t="s">
        <v>19</v>
      </c>
      <c r="F290">
        <v>2373</v>
      </c>
      <c r="G290">
        <v>2</v>
      </c>
      <c r="H290" t="s">
        <v>14</v>
      </c>
      <c r="I290">
        <v>3</v>
      </c>
      <c r="J290" t="s">
        <v>14</v>
      </c>
      <c r="K290">
        <f>IF($J290="Yes",1,0)</f>
        <v>1</v>
      </c>
    </row>
    <row r="291" spans="1:11">
      <c r="A291">
        <v>395</v>
      </c>
      <c r="B291">
        <v>28</v>
      </c>
      <c r="C291" t="s">
        <v>11</v>
      </c>
      <c r="D291" t="s">
        <v>16</v>
      </c>
      <c r="E291" t="s">
        <v>17</v>
      </c>
      <c r="F291">
        <v>3310</v>
      </c>
      <c r="G291">
        <v>4</v>
      </c>
      <c r="H291" t="s">
        <v>18</v>
      </c>
      <c r="I291">
        <v>5</v>
      </c>
      <c r="J291" t="s">
        <v>18</v>
      </c>
      <c r="K291">
        <f>IF($J291="Yes",1,0)</f>
        <v>0</v>
      </c>
    </row>
    <row r="292" spans="1:11">
      <c r="A292">
        <v>396</v>
      </c>
      <c r="B292">
        <v>49</v>
      </c>
      <c r="C292" t="s">
        <v>11</v>
      </c>
      <c r="D292" t="s">
        <v>16</v>
      </c>
      <c r="E292" t="s">
        <v>24</v>
      </c>
      <c r="F292">
        <v>18665</v>
      </c>
      <c r="G292">
        <v>1</v>
      </c>
      <c r="H292" t="s">
        <v>14</v>
      </c>
      <c r="I292">
        <v>3</v>
      </c>
      <c r="J292" t="s">
        <v>18</v>
      </c>
      <c r="K292">
        <f>IF($J292="Yes",1,0)</f>
        <v>0</v>
      </c>
    </row>
    <row r="293" spans="1:11">
      <c r="A293">
        <v>397</v>
      </c>
      <c r="B293">
        <v>36</v>
      </c>
      <c r="C293" t="s">
        <v>15</v>
      </c>
      <c r="D293" t="s">
        <v>16</v>
      </c>
      <c r="E293" t="s">
        <v>17</v>
      </c>
      <c r="F293">
        <v>4485</v>
      </c>
      <c r="G293">
        <v>2</v>
      </c>
      <c r="H293" t="s">
        <v>18</v>
      </c>
      <c r="I293">
        <v>8</v>
      </c>
      <c r="J293" t="s">
        <v>18</v>
      </c>
      <c r="K293">
        <f>IF($J293="Yes",1,0)</f>
        <v>0</v>
      </c>
    </row>
    <row r="294" spans="1:11">
      <c r="A294">
        <v>399</v>
      </c>
      <c r="B294">
        <v>31</v>
      </c>
      <c r="C294" t="s">
        <v>11</v>
      </c>
      <c r="D294" t="s">
        <v>12</v>
      </c>
      <c r="E294" t="s">
        <v>23</v>
      </c>
      <c r="F294">
        <v>2789</v>
      </c>
      <c r="G294">
        <v>2</v>
      </c>
      <c r="H294" t="s">
        <v>18</v>
      </c>
      <c r="I294">
        <v>2</v>
      </c>
      <c r="J294" t="s">
        <v>18</v>
      </c>
      <c r="K294">
        <f>IF($J294="Yes",1,0)</f>
        <v>0</v>
      </c>
    </row>
    <row r="295" spans="1:11">
      <c r="A295">
        <v>401</v>
      </c>
      <c r="B295">
        <v>26</v>
      </c>
      <c r="C295" t="s">
        <v>15</v>
      </c>
      <c r="D295" t="s">
        <v>12</v>
      </c>
      <c r="E295" t="s">
        <v>13</v>
      </c>
      <c r="F295">
        <v>5828</v>
      </c>
      <c r="G295">
        <v>4</v>
      </c>
      <c r="H295" t="s">
        <v>14</v>
      </c>
      <c r="I295">
        <v>8</v>
      </c>
      <c r="J295" t="s">
        <v>14</v>
      </c>
      <c r="K295">
        <f>IF($J295="Yes",1,0)</f>
        <v>1</v>
      </c>
    </row>
    <row r="296" spans="1:11">
      <c r="A296">
        <v>403</v>
      </c>
      <c r="B296">
        <v>37</v>
      </c>
      <c r="C296" t="s">
        <v>15</v>
      </c>
      <c r="D296" t="s">
        <v>16</v>
      </c>
      <c r="E296" t="s">
        <v>17</v>
      </c>
      <c r="F296">
        <v>2326</v>
      </c>
      <c r="G296">
        <v>4</v>
      </c>
      <c r="H296" t="s">
        <v>14</v>
      </c>
      <c r="I296">
        <v>4</v>
      </c>
      <c r="J296" t="s">
        <v>18</v>
      </c>
      <c r="K296">
        <f>IF($J296="Yes",1,0)</f>
        <v>0</v>
      </c>
    </row>
    <row r="297" spans="1:11">
      <c r="A297">
        <v>404</v>
      </c>
      <c r="B297">
        <v>42</v>
      </c>
      <c r="C297" t="s">
        <v>11</v>
      </c>
      <c r="D297" t="s">
        <v>12</v>
      </c>
      <c r="E297" t="s">
        <v>13</v>
      </c>
      <c r="F297">
        <v>13525</v>
      </c>
      <c r="G297">
        <v>2</v>
      </c>
      <c r="H297" t="s">
        <v>18</v>
      </c>
      <c r="I297">
        <v>20</v>
      </c>
      <c r="J297" t="s">
        <v>18</v>
      </c>
      <c r="K297">
        <f>IF($J297="Yes",1,0)</f>
        <v>0</v>
      </c>
    </row>
    <row r="298" spans="1:11">
      <c r="A298">
        <v>405</v>
      </c>
      <c r="B298">
        <v>18</v>
      </c>
      <c r="C298" t="s">
        <v>15</v>
      </c>
      <c r="D298" t="s">
        <v>16</v>
      </c>
      <c r="E298" t="s">
        <v>19</v>
      </c>
      <c r="F298">
        <v>1420</v>
      </c>
      <c r="G298">
        <v>3</v>
      </c>
      <c r="H298" t="s">
        <v>18</v>
      </c>
      <c r="I298">
        <v>0</v>
      </c>
      <c r="J298" t="s">
        <v>14</v>
      </c>
      <c r="K298">
        <f>IF($J298="Yes",1,0)</f>
        <v>1</v>
      </c>
    </row>
    <row r="299" spans="1:11">
      <c r="A299">
        <v>406</v>
      </c>
      <c r="B299">
        <v>35</v>
      </c>
      <c r="C299" t="s">
        <v>15</v>
      </c>
      <c r="D299" t="s">
        <v>12</v>
      </c>
      <c r="E299" t="s">
        <v>13</v>
      </c>
      <c r="F299">
        <v>8020</v>
      </c>
      <c r="G299">
        <v>2</v>
      </c>
      <c r="H299" t="s">
        <v>18</v>
      </c>
      <c r="I299">
        <v>11</v>
      </c>
      <c r="J299" t="s">
        <v>18</v>
      </c>
      <c r="K299">
        <f>IF($J299="Yes",1,0)</f>
        <v>0</v>
      </c>
    </row>
    <row r="300" spans="1:11">
      <c r="A300">
        <v>407</v>
      </c>
      <c r="B300">
        <v>36</v>
      </c>
      <c r="C300" t="s">
        <v>15</v>
      </c>
      <c r="D300" t="s">
        <v>16</v>
      </c>
      <c r="E300" t="s">
        <v>19</v>
      </c>
      <c r="F300">
        <v>3688</v>
      </c>
      <c r="G300">
        <v>4</v>
      </c>
      <c r="H300" t="s">
        <v>18</v>
      </c>
      <c r="I300">
        <v>1</v>
      </c>
      <c r="J300" t="s">
        <v>18</v>
      </c>
      <c r="K300">
        <f>IF($J300="Yes",1,0)</f>
        <v>0</v>
      </c>
    </row>
    <row r="301" spans="1:11">
      <c r="A301">
        <v>408</v>
      </c>
      <c r="B301">
        <v>51</v>
      </c>
      <c r="C301" t="s">
        <v>15</v>
      </c>
      <c r="D301" t="s">
        <v>16</v>
      </c>
      <c r="E301" t="s">
        <v>20</v>
      </c>
      <c r="F301">
        <v>5482</v>
      </c>
      <c r="G301">
        <v>2</v>
      </c>
      <c r="H301" t="s">
        <v>18</v>
      </c>
      <c r="I301">
        <v>4</v>
      </c>
      <c r="J301" t="s">
        <v>18</v>
      </c>
      <c r="K301">
        <f>IF($J301="Yes",1,0)</f>
        <v>0</v>
      </c>
    </row>
    <row r="302" spans="1:11">
      <c r="A302">
        <v>410</v>
      </c>
      <c r="B302">
        <v>41</v>
      </c>
      <c r="C302" t="s">
        <v>15</v>
      </c>
      <c r="D302" t="s">
        <v>12</v>
      </c>
      <c r="E302" t="s">
        <v>22</v>
      </c>
      <c r="F302">
        <v>16015</v>
      </c>
      <c r="G302">
        <v>2</v>
      </c>
      <c r="H302" t="s">
        <v>18</v>
      </c>
      <c r="I302">
        <v>22</v>
      </c>
      <c r="J302" t="s">
        <v>18</v>
      </c>
      <c r="K302">
        <f>IF($J302="Yes",1,0)</f>
        <v>0</v>
      </c>
    </row>
    <row r="303" spans="1:11">
      <c r="A303">
        <v>411</v>
      </c>
      <c r="B303">
        <v>18</v>
      </c>
      <c r="C303" t="s">
        <v>11</v>
      </c>
      <c r="D303" t="s">
        <v>12</v>
      </c>
      <c r="E303" t="s">
        <v>23</v>
      </c>
      <c r="F303">
        <v>1200</v>
      </c>
      <c r="G303">
        <v>3</v>
      </c>
      <c r="H303" t="s">
        <v>18</v>
      </c>
      <c r="I303">
        <v>0</v>
      </c>
      <c r="J303" t="s">
        <v>18</v>
      </c>
      <c r="K303">
        <f>IF($J303="Yes",1,0)</f>
        <v>0</v>
      </c>
    </row>
    <row r="304" spans="1:11">
      <c r="A304">
        <v>412</v>
      </c>
      <c r="B304">
        <v>28</v>
      </c>
      <c r="C304" t="s">
        <v>15</v>
      </c>
      <c r="D304" t="s">
        <v>16</v>
      </c>
      <c r="E304" t="s">
        <v>21</v>
      </c>
      <c r="F304">
        <v>5661</v>
      </c>
      <c r="G304">
        <v>1</v>
      </c>
      <c r="H304" t="s">
        <v>18</v>
      </c>
      <c r="I304">
        <v>8</v>
      </c>
      <c r="J304" t="s">
        <v>18</v>
      </c>
      <c r="K304">
        <f>IF($J304="Yes",1,0)</f>
        <v>0</v>
      </c>
    </row>
    <row r="305" spans="1:11">
      <c r="A305">
        <v>416</v>
      </c>
      <c r="B305">
        <v>31</v>
      </c>
      <c r="C305" t="s">
        <v>15</v>
      </c>
      <c r="D305" t="s">
        <v>12</v>
      </c>
      <c r="E305" t="s">
        <v>13</v>
      </c>
      <c r="F305">
        <v>6929</v>
      </c>
      <c r="G305">
        <v>4</v>
      </c>
      <c r="H305" t="s">
        <v>18</v>
      </c>
      <c r="I305">
        <v>8</v>
      </c>
      <c r="J305" t="s">
        <v>18</v>
      </c>
      <c r="K305">
        <f>IF($J305="Yes",1,0)</f>
        <v>0</v>
      </c>
    </row>
    <row r="306" spans="1:11">
      <c r="A306">
        <v>417</v>
      </c>
      <c r="B306">
        <v>39</v>
      </c>
      <c r="C306" t="s">
        <v>15</v>
      </c>
      <c r="D306" t="s">
        <v>16</v>
      </c>
      <c r="E306" t="s">
        <v>21</v>
      </c>
      <c r="F306">
        <v>9613</v>
      </c>
      <c r="G306">
        <v>4</v>
      </c>
      <c r="H306" t="s">
        <v>18</v>
      </c>
      <c r="I306">
        <v>18</v>
      </c>
      <c r="J306" t="s">
        <v>18</v>
      </c>
      <c r="K306">
        <f>IF($J306="Yes",1,0)</f>
        <v>0</v>
      </c>
    </row>
    <row r="307" spans="1:11">
      <c r="A307">
        <v>419</v>
      </c>
      <c r="B307">
        <v>36</v>
      </c>
      <c r="C307" t="s">
        <v>11</v>
      </c>
      <c r="D307" t="s">
        <v>16</v>
      </c>
      <c r="E307" t="s">
        <v>19</v>
      </c>
      <c r="F307">
        <v>5674</v>
      </c>
      <c r="G307">
        <v>2</v>
      </c>
      <c r="H307" t="s">
        <v>18</v>
      </c>
      <c r="I307">
        <v>9</v>
      </c>
      <c r="J307" t="s">
        <v>18</v>
      </c>
      <c r="K307">
        <f>IF($J307="Yes",1,0)</f>
        <v>0</v>
      </c>
    </row>
    <row r="308" spans="1:11">
      <c r="A308">
        <v>420</v>
      </c>
      <c r="B308">
        <v>32</v>
      </c>
      <c r="C308" t="s">
        <v>15</v>
      </c>
      <c r="D308" t="s">
        <v>12</v>
      </c>
      <c r="E308" t="s">
        <v>13</v>
      </c>
      <c r="F308">
        <v>5484</v>
      </c>
      <c r="G308">
        <v>3</v>
      </c>
      <c r="H308" t="s">
        <v>18</v>
      </c>
      <c r="I308">
        <v>13</v>
      </c>
      <c r="J308" t="s">
        <v>18</v>
      </c>
      <c r="K308">
        <f>IF($J308="Yes",1,0)</f>
        <v>0</v>
      </c>
    </row>
    <row r="309" spans="1:11">
      <c r="A309">
        <v>421</v>
      </c>
      <c r="B309">
        <v>38</v>
      </c>
      <c r="C309" t="s">
        <v>11</v>
      </c>
      <c r="D309" t="s">
        <v>16</v>
      </c>
      <c r="E309" t="s">
        <v>24</v>
      </c>
      <c r="F309">
        <v>12061</v>
      </c>
      <c r="G309">
        <v>2</v>
      </c>
      <c r="H309" t="s">
        <v>18</v>
      </c>
      <c r="I309">
        <v>10</v>
      </c>
      <c r="J309" t="s">
        <v>18</v>
      </c>
      <c r="K309">
        <f>IF($J309="Yes",1,0)</f>
        <v>0</v>
      </c>
    </row>
    <row r="310" spans="1:11">
      <c r="A310">
        <v>422</v>
      </c>
      <c r="B310">
        <v>58</v>
      </c>
      <c r="C310" t="s">
        <v>15</v>
      </c>
      <c r="D310" t="s">
        <v>16</v>
      </c>
      <c r="E310" t="s">
        <v>21</v>
      </c>
      <c r="F310">
        <v>5660</v>
      </c>
      <c r="G310">
        <v>3</v>
      </c>
      <c r="H310" t="s">
        <v>14</v>
      </c>
      <c r="I310">
        <v>5</v>
      </c>
      <c r="J310" t="s">
        <v>18</v>
      </c>
      <c r="K310">
        <f>IF($J310="Yes",1,0)</f>
        <v>0</v>
      </c>
    </row>
    <row r="311" spans="1:11">
      <c r="A311">
        <v>423</v>
      </c>
      <c r="B311">
        <v>31</v>
      </c>
      <c r="C311" t="s">
        <v>15</v>
      </c>
      <c r="D311" t="s">
        <v>16</v>
      </c>
      <c r="E311" t="s">
        <v>17</v>
      </c>
      <c r="F311">
        <v>4821</v>
      </c>
      <c r="G311">
        <v>4</v>
      </c>
      <c r="H311" t="s">
        <v>14</v>
      </c>
      <c r="I311">
        <v>5</v>
      </c>
      <c r="J311" t="s">
        <v>18</v>
      </c>
      <c r="K311">
        <f>IF($J311="Yes",1,0)</f>
        <v>0</v>
      </c>
    </row>
    <row r="312" spans="1:11">
      <c r="A312">
        <v>424</v>
      </c>
      <c r="B312">
        <v>31</v>
      </c>
      <c r="C312" t="s">
        <v>15</v>
      </c>
      <c r="D312" t="s">
        <v>25</v>
      </c>
      <c r="E312" t="s">
        <v>25</v>
      </c>
      <c r="F312">
        <v>6410</v>
      </c>
      <c r="G312">
        <v>1</v>
      </c>
      <c r="H312" t="s">
        <v>18</v>
      </c>
      <c r="I312">
        <v>2</v>
      </c>
      <c r="J312" t="s">
        <v>18</v>
      </c>
      <c r="K312">
        <f>IF($J312="Yes",1,0)</f>
        <v>0</v>
      </c>
    </row>
    <row r="313" spans="1:11">
      <c r="A313">
        <v>425</v>
      </c>
      <c r="B313">
        <v>45</v>
      </c>
      <c r="C313" t="s">
        <v>15</v>
      </c>
      <c r="D313" t="s">
        <v>16</v>
      </c>
      <c r="E313" t="s">
        <v>19</v>
      </c>
      <c r="F313">
        <v>5210</v>
      </c>
      <c r="G313">
        <v>1</v>
      </c>
      <c r="H313" t="s">
        <v>18</v>
      </c>
      <c r="I313">
        <v>24</v>
      </c>
      <c r="J313" t="s">
        <v>18</v>
      </c>
      <c r="K313">
        <f>IF($J313="Yes",1,0)</f>
        <v>0</v>
      </c>
    </row>
    <row r="314" spans="1:11">
      <c r="A314">
        <v>426</v>
      </c>
      <c r="B314">
        <v>31</v>
      </c>
      <c r="C314" t="s">
        <v>15</v>
      </c>
      <c r="D314" t="s">
        <v>16</v>
      </c>
      <c r="E314" t="s">
        <v>17</v>
      </c>
      <c r="F314">
        <v>2695</v>
      </c>
      <c r="G314">
        <v>4</v>
      </c>
      <c r="H314" t="s">
        <v>14</v>
      </c>
      <c r="I314">
        <v>2</v>
      </c>
      <c r="J314" t="s">
        <v>18</v>
      </c>
      <c r="K314">
        <f>IF($J314="Yes",1,0)</f>
        <v>0</v>
      </c>
    </row>
    <row r="315" spans="1:11">
      <c r="A315">
        <v>428</v>
      </c>
      <c r="B315">
        <v>33</v>
      </c>
      <c r="C315" t="s">
        <v>11</v>
      </c>
      <c r="D315" t="s">
        <v>16</v>
      </c>
      <c r="E315" t="s">
        <v>22</v>
      </c>
      <c r="F315">
        <v>11878</v>
      </c>
      <c r="G315">
        <v>2</v>
      </c>
      <c r="H315" t="s">
        <v>18</v>
      </c>
      <c r="I315">
        <v>10</v>
      </c>
      <c r="J315" t="s">
        <v>18</v>
      </c>
      <c r="K315">
        <f>IF($J315="Yes",1,0)</f>
        <v>0</v>
      </c>
    </row>
    <row r="316" spans="1:11">
      <c r="A316">
        <v>429</v>
      </c>
      <c r="B316">
        <v>39</v>
      </c>
      <c r="C316" t="s">
        <v>15</v>
      </c>
      <c r="D316" t="s">
        <v>16</v>
      </c>
      <c r="E316" t="s">
        <v>22</v>
      </c>
      <c r="F316">
        <v>17068</v>
      </c>
      <c r="G316">
        <v>1</v>
      </c>
      <c r="H316" t="s">
        <v>14</v>
      </c>
      <c r="I316">
        <v>21</v>
      </c>
      <c r="J316" t="s">
        <v>18</v>
      </c>
      <c r="K316">
        <f>IF($J316="Yes",1,0)</f>
        <v>0</v>
      </c>
    </row>
    <row r="317" spans="1:11">
      <c r="A317">
        <v>430</v>
      </c>
      <c r="B317">
        <v>43</v>
      </c>
      <c r="C317" t="s">
        <v>11</v>
      </c>
      <c r="D317" t="s">
        <v>16</v>
      </c>
      <c r="E317" t="s">
        <v>19</v>
      </c>
      <c r="F317">
        <v>2455</v>
      </c>
      <c r="G317">
        <v>4</v>
      </c>
      <c r="H317" t="s">
        <v>18</v>
      </c>
      <c r="I317">
        <v>8</v>
      </c>
      <c r="J317" t="s">
        <v>18</v>
      </c>
      <c r="K317">
        <f>IF($J317="Yes",1,0)</f>
        <v>0</v>
      </c>
    </row>
    <row r="318" spans="1:11">
      <c r="A318">
        <v>431</v>
      </c>
      <c r="B318">
        <v>49</v>
      </c>
      <c r="C318" t="s">
        <v>11</v>
      </c>
      <c r="D318" t="s">
        <v>16</v>
      </c>
      <c r="E318" t="s">
        <v>21</v>
      </c>
      <c r="F318">
        <v>13964</v>
      </c>
      <c r="G318">
        <v>3</v>
      </c>
      <c r="H318" t="s">
        <v>14</v>
      </c>
      <c r="I318">
        <v>7</v>
      </c>
      <c r="J318" t="s">
        <v>18</v>
      </c>
      <c r="K318">
        <f>IF($J318="Yes",1,0)</f>
        <v>0</v>
      </c>
    </row>
    <row r="319" spans="1:11">
      <c r="A319">
        <v>433</v>
      </c>
      <c r="B319">
        <v>52</v>
      </c>
      <c r="C319" t="s">
        <v>15</v>
      </c>
      <c r="D319" t="s">
        <v>16</v>
      </c>
      <c r="E319" t="s">
        <v>17</v>
      </c>
      <c r="F319">
        <v>4941</v>
      </c>
      <c r="G319">
        <v>2</v>
      </c>
      <c r="H319" t="s">
        <v>18</v>
      </c>
      <c r="I319">
        <v>8</v>
      </c>
      <c r="J319" t="s">
        <v>14</v>
      </c>
      <c r="K319">
        <f>IF($J319="Yes",1,0)</f>
        <v>1</v>
      </c>
    </row>
    <row r="320" spans="1:11">
      <c r="A320">
        <v>434</v>
      </c>
      <c r="B320">
        <v>27</v>
      </c>
      <c r="C320" t="s">
        <v>11</v>
      </c>
      <c r="D320" t="s">
        <v>16</v>
      </c>
      <c r="E320" t="s">
        <v>17</v>
      </c>
      <c r="F320">
        <v>2478</v>
      </c>
      <c r="G320">
        <v>2</v>
      </c>
      <c r="H320" t="s">
        <v>14</v>
      </c>
      <c r="I320">
        <v>4</v>
      </c>
      <c r="J320" t="s">
        <v>18</v>
      </c>
      <c r="K320">
        <f>IF($J320="Yes",1,0)</f>
        <v>0</v>
      </c>
    </row>
    <row r="321" spans="1:11">
      <c r="A321">
        <v>436</v>
      </c>
      <c r="B321">
        <v>32</v>
      </c>
      <c r="C321" t="s">
        <v>11</v>
      </c>
      <c r="D321" t="s">
        <v>12</v>
      </c>
      <c r="E321" t="s">
        <v>13</v>
      </c>
      <c r="F321">
        <v>5228</v>
      </c>
      <c r="G321">
        <v>2</v>
      </c>
      <c r="H321" t="s">
        <v>14</v>
      </c>
      <c r="I321">
        <v>13</v>
      </c>
      <c r="J321" t="s">
        <v>18</v>
      </c>
      <c r="K321">
        <f>IF($J321="Yes",1,0)</f>
        <v>0</v>
      </c>
    </row>
    <row r="322" spans="1:11">
      <c r="A322">
        <v>437</v>
      </c>
      <c r="B322">
        <v>27</v>
      </c>
      <c r="C322" t="s">
        <v>15</v>
      </c>
      <c r="D322" t="s">
        <v>12</v>
      </c>
      <c r="E322" t="s">
        <v>13</v>
      </c>
      <c r="F322">
        <v>4478</v>
      </c>
      <c r="G322">
        <v>3</v>
      </c>
      <c r="H322" t="s">
        <v>14</v>
      </c>
      <c r="I322">
        <v>5</v>
      </c>
      <c r="J322" t="s">
        <v>18</v>
      </c>
      <c r="K322">
        <f>IF($J322="Yes",1,0)</f>
        <v>0</v>
      </c>
    </row>
    <row r="323" spans="1:11">
      <c r="A323">
        <v>438</v>
      </c>
      <c r="B323">
        <v>31</v>
      </c>
      <c r="C323" t="s">
        <v>15</v>
      </c>
      <c r="D323" t="s">
        <v>12</v>
      </c>
      <c r="E323" t="s">
        <v>13</v>
      </c>
      <c r="F323">
        <v>7547</v>
      </c>
      <c r="G323">
        <v>4</v>
      </c>
      <c r="H323" t="s">
        <v>18</v>
      </c>
      <c r="I323">
        <v>7</v>
      </c>
      <c r="J323" t="s">
        <v>18</v>
      </c>
      <c r="K323">
        <f>IF($J323="Yes",1,0)</f>
        <v>0</v>
      </c>
    </row>
    <row r="324" spans="1:11">
      <c r="A324">
        <v>439</v>
      </c>
      <c r="B324">
        <v>32</v>
      </c>
      <c r="C324" t="s">
        <v>11</v>
      </c>
      <c r="D324" t="s">
        <v>16</v>
      </c>
      <c r="E324" t="s">
        <v>17</v>
      </c>
      <c r="F324">
        <v>5055</v>
      </c>
      <c r="G324">
        <v>4</v>
      </c>
      <c r="H324" t="s">
        <v>18</v>
      </c>
      <c r="I324">
        <v>7</v>
      </c>
      <c r="J324" t="s">
        <v>18</v>
      </c>
      <c r="K324">
        <f>IF($J324="Yes",1,0)</f>
        <v>0</v>
      </c>
    </row>
    <row r="325" spans="1:11">
      <c r="A325">
        <v>440</v>
      </c>
      <c r="B325">
        <v>28</v>
      </c>
      <c r="C325" t="s">
        <v>15</v>
      </c>
      <c r="D325" t="s">
        <v>16</v>
      </c>
      <c r="E325" t="s">
        <v>17</v>
      </c>
      <c r="F325">
        <v>3464</v>
      </c>
      <c r="G325">
        <v>4</v>
      </c>
      <c r="H325" t="s">
        <v>14</v>
      </c>
      <c r="I325">
        <v>3</v>
      </c>
      <c r="J325" t="s">
        <v>14</v>
      </c>
      <c r="K325">
        <f>IF($J325="Yes",1,0)</f>
        <v>1</v>
      </c>
    </row>
    <row r="326" spans="1:11">
      <c r="A326">
        <v>441</v>
      </c>
      <c r="B326">
        <v>30</v>
      </c>
      <c r="C326" t="s">
        <v>11</v>
      </c>
      <c r="D326" t="s">
        <v>16</v>
      </c>
      <c r="E326" t="s">
        <v>17</v>
      </c>
      <c r="F326">
        <v>5775</v>
      </c>
      <c r="G326">
        <v>4</v>
      </c>
      <c r="H326" t="s">
        <v>18</v>
      </c>
      <c r="I326">
        <v>10</v>
      </c>
      <c r="J326" t="s">
        <v>18</v>
      </c>
      <c r="K326">
        <f>IF($J326="Yes",1,0)</f>
        <v>0</v>
      </c>
    </row>
    <row r="327" spans="1:11">
      <c r="A327">
        <v>442</v>
      </c>
      <c r="B327">
        <v>31</v>
      </c>
      <c r="C327" t="s">
        <v>11</v>
      </c>
      <c r="D327" t="s">
        <v>16</v>
      </c>
      <c r="E327" t="s">
        <v>20</v>
      </c>
      <c r="F327">
        <v>8943</v>
      </c>
      <c r="G327">
        <v>3</v>
      </c>
      <c r="H327" t="s">
        <v>18</v>
      </c>
      <c r="I327">
        <v>10</v>
      </c>
      <c r="J327" t="s">
        <v>18</v>
      </c>
      <c r="K327">
        <f>IF($J327="Yes",1,0)</f>
        <v>0</v>
      </c>
    </row>
    <row r="328" spans="1:11">
      <c r="A328">
        <v>444</v>
      </c>
      <c r="B328">
        <v>39</v>
      </c>
      <c r="C328" t="s">
        <v>15</v>
      </c>
      <c r="D328" t="s">
        <v>16</v>
      </c>
      <c r="E328" t="s">
        <v>22</v>
      </c>
      <c r="F328">
        <v>19272</v>
      </c>
      <c r="G328">
        <v>4</v>
      </c>
      <c r="H328" t="s">
        <v>18</v>
      </c>
      <c r="I328">
        <v>21</v>
      </c>
      <c r="J328" t="s">
        <v>18</v>
      </c>
      <c r="K328">
        <f>IF($J328="Yes",1,0)</f>
        <v>0</v>
      </c>
    </row>
    <row r="329" spans="1:11">
      <c r="A329">
        <v>445</v>
      </c>
      <c r="B329">
        <v>39</v>
      </c>
      <c r="C329" t="s">
        <v>11</v>
      </c>
      <c r="D329" t="s">
        <v>12</v>
      </c>
      <c r="E329" t="s">
        <v>13</v>
      </c>
      <c r="F329">
        <v>5238</v>
      </c>
      <c r="G329">
        <v>3</v>
      </c>
      <c r="H329" t="s">
        <v>14</v>
      </c>
      <c r="I329">
        <v>1</v>
      </c>
      <c r="J329" t="s">
        <v>14</v>
      </c>
      <c r="K329">
        <f>IF($J329="Yes",1,0)</f>
        <v>1</v>
      </c>
    </row>
    <row r="330" spans="1:11">
      <c r="A330">
        <v>446</v>
      </c>
      <c r="B330">
        <v>33</v>
      </c>
      <c r="C330" t="s">
        <v>15</v>
      </c>
      <c r="D330" t="s">
        <v>12</v>
      </c>
      <c r="E330" t="s">
        <v>13</v>
      </c>
      <c r="F330">
        <v>4682</v>
      </c>
      <c r="G330">
        <v>4</v>
      </c>
      <c r="H330" t="s">
        <v>18</v>
      </c>
      <c r="I330">
        <v>7</v>
      </c>
      <c r="J330" t="s">
        <v>18</v>
      </c>
      <c r="K330">
        <f>IF($J330="Yes",1,0)</f>
        <v>0</v>
      </c>
    </row>
    <row r="331" spans="1:11">
      <c r="A331">
        <v>447</v>
      </c>
      <c r="B331">
        <v>47</v>
      </c>
      <c r="C331" t="s">
        <v>15</v>
      </c>
      <c r="D331" t="s">
        <v>16</v>
      </c>
      <c r="E331" t="s">
        <v>24</v>
      </c>
      <c r="F331">
        <v>18300</v>
      </c>
      <c r="G331">
        <v>3</v>
      </c>
      <c r="H331" t="s">
        <v>18</v>
      </c>
      <c r="I331">
        <v>3</v>
      </c>
      <c r="J331" t="s">
        <v>18</v>
      </c>
      <c r="K331">
        <f>IF($J331="Yes",1,0)</f>
        <v>0</v>
      </c>
    </row>
    <row r="332" spans="1:11">
      <c r="A332">
        <v>448</v>
      </c>
      <c r="B332">
        <v>43</v>
      </c>
      <c r="C332" t="s">
        <v>11</v>
      </c>
      <c r="D332" t="s">
        <v>16</v>
      </c>
      <c r="E332" t="s">
        <v>19</v>
      </c>
      <c r="F332">
        <v>5257</v>
      </c>
      <c r="G332">
        <v>3</v>
      </c>
      <c r="H332" t="s">
        <v>18</v>
      </c>
      <c r="I332">
        <v>9</v>
      </c>
      <c r="J332" t="s">
        <v>18</v>
      </c>
      <c r="K332">
        <f>IF($J332="Yes",1,0)</f>
        <v>0</v>
      </c>
    </row>
    <row r="333" spans="1:11">
      <c r="A333">
        <v>449</v>
      </c>
      <c r="B333">
        <v>27</v>
      </c>
      <c r="C333" t="s">
        <v>15</v>
      </c>
      <c r="D333" t="s">
        <v>12</v>
      </c>
      <c r="E333" t="s">
        <v>13</v>
      </c>
      <c r="F333">
        <v>6349</v>
      </c>
      <c r="G333">
        <v>2</v>
      </c>
      <c r="H333" t="s">
        <v>14</v>
      </c>
      <c r="I333">
        <v>5</v>
      </c>
      <c r="J333" t="s">
        <v>18</v>
      </c>
      <c r="K333">
        <f>IF($J333="Yes",1,0)</f>
        <v>0</v>
      </c>
    </row>
    <row r="334" spans="1:11">
      <c r="A334">
        <v>450</v>
      </c>
      <c r="B334">
        <v>54</v>
      </c>
      <c r="C334" t="s">
        <v>11</v>
      </c>
      <c r="D334" t="s">
        <v>16</v>
      </c>
      <c r="E334" t="s">
        <v>17</v>
      </c>
      <c r="F334">
        <v>4869</v>
      </c>
      <c r="G334">
        <v>3</v>
      </c>
      <c r="H334" t="s">
        <v>18</v>
      </c>
      <c r="I334">
        <v>4</v>
      </c>
      <c r="J334" t="s">
        <v>18</v>
      </c>
      <c r="K334">
        <f>IF($J334="Yes",1,0)</f>
        <v>0</v>
      </c>
    </row>
    <row r="335" spans="1:11">
      <c r="A335">
        <v>451</v>
      </c>
      <c r="B335">
        <v>43</v>
      </c>
      <c r="C335" t="s">
        <v>11</v>
      </c>
      <c r="D335" t="s">
        <v>16</v>
      </c>
      <c r="E335" t="s">
        <v>21</v>
      </c>
      <c r="F335">
        <v>9985</v>
      </c>
      <c r="G335">
        <v>1</v>
      </c>
      <c r="H335" t="s">
        <v>18</v>
      </c>
      <c r="I335">
        <v>1</v>
      </c>
      <c r="J335" t="s">
        <v>18</v>
      </c>
      <c r="K335">
        <f>IF($J335="Yes",1,0)</f>
        <v>0</v>
      </c>
    </row>
    <row r="336" spans="1:11">
      <c r="A336">
        <v>452</v>
      </c>
      <c r="B336">
        <v>45</v>
      </c>
      <c r="C336" t="s">
        <v>15</v>
      </c>
      <c r="D336" t="s">
        <v>16</v>
      </c>
      <c r="E336" t="s">
        <v>17</v>
      </c>
      <c r="F336">
        <v>3697</v>
      </c>
      <c r="G336">
        <v>4</v>
      </c>
      <c r="H336" t="s">
        <v>18</v>
      </c>
      <c r="I336">
        <v>10</v>
      </c>
      <c r="J336" t="s">
        <v>18</v>
      </c>
      <c r="K336">
        <f>IF($J336="Yes",1,0)</f>
        <v>0</v>
      </c>
    </row>
    <row r="337" spans="1:11">
      <c r="A337">
        <v>453</v>
      </c>
      <c r="B337">
        <v>40</v>
      </c>
      <c r="C337" t="s">
        <v>15</v>
      </c>
      <c r="D337" t="s">
        <v>12</v>
      </c>
      <c r="E337" t="s">
        <v>13</v>
      </c>
      <c r="F337">
        <v>7457</v>
      </c>
      <c r="G337">
        <v>4</v>
      </c>
      <c r="H337" t="s">
        <v>14</v>
      </c>
      <c r="I337">
        <v>4</v>
      </c>
      <c r="J337" t="s">
        <v>18</v>
      </c>
      <c r="K337">
        <f>IF($J337="Yes",1,0)</f>
        <v>0</v>
      </c>
    </row>
    <row r="338" spans="1:11">
      <c r="A338">
        <v>454</v>
      </c>
      <c r="B338">
        <v>29</v>
      </c>
      <c r="C338" t="s">
        <v>15</v>
      </c>
      <c r="D338" t="s">
        <v>16</v>
      </c>
      <c r="E338" t="s">
        <v>19</v>
      </c>
      <c r="F338">
        <v>2119</v>
      </c>
      <c r="G338">
        <v>1</v>
      </c>
      <c r="H338" t="s">
        <v>14</v>
      </c>
      <c r="I338">
        <v>7</v>
      </c>
      <c r="J338" t="s">
        <v>14</v>
      </c>
      <c r="K338">
        <f>IF($J338="Yes",1,0)</f>
        <v>1</v>
      </c>
    </row>
    <row r="339" spans="1:11">
      <c r="A339">
        <v>455</v>
      </c>
      <c r="B339">
        <v>29</v>
      </c>
      <c r="C339" t="s">
        <v>15</v>
      </c>
      <c r="D339" t="s">
        <v>16</v>
      </c>
      <c r="E339" t="s">
        <v>19</v>
      </c>
      <c r="F339">
        <v>3983</v>
      </c>
      <c r="G339">
        <v>4</v>
      </c>
      <c r="H339" t="s">
        <v>18</v>
      </c>
      <c r="I339">
        <v>3</v>
      </c>
      <c r="J339" t="s">
        <v>18</v>
      </c>
      <c r="K339">
        <f>IF($J339="Yes",1,0)</f>
        <v>0</v>
      </c>
    </row>
    <row r="340" spans="1:11">
      <c r="A340">
        <v>456</v>
      </c>
      <c r="B340">
        <v>30</v>
      </c>
      <c r="C340" t="s">
        <v>11</v>
      </c>
      <c r="D340" t="s">
        <v>12</v>
      </c>
      <c r="E340" t="s">
        <v>13</v>
      </c>
      <c r="F340">
        <v>6118</v>
      </c>
      <c r="G340">
        <v>3</v>
      </c>
      <c r="H340" t="s">
        <v>18</v>
      </c>
      <c r="I340">
        <v>10</v>
      </c>
      <c r="J340" t="s">
        <v>18</v>
      </c>
      <c r="K340">
        <f>IF($J340="Yes",1,0)</f>
        <v>0</v>
      </c>
    </row>
    <row r="341" spans="1:11">
      <c r="A341">
        <v>458</v>
      </c>
      <c r="B341">
        <v>27</v>
      </c>
      <c r="C341" t="s">
        <v>11</v>
      </c>
      <c r="D341" t="s">
        <v>12</v>
      </c>
      <c r="E341" t="s">
        <v>13</v>
      </c>
      <c r="F341">
        <v>6214</v>
      </c>
      <c r="G341">
        <v>2</v>
      </c>
      <c r="H341" t="s">
        <v>18</v>
      </c>
      <c r="I341">
        <v>8</v>
      </c>
      <c r="J341" t="s">
        <v>18</v>
      </c>
      <c r="K341">
        <f>IF($J341="Yes",1,0)</f>
        <v>0</v>
      </c>
    </row>
    <row r="342" spans="1:11">
      <c r="A342">
        <v>460</v>
      </c>
      <c r="B342">
        <v>37</v>
      </c>
      <c r="C342" t="s">
        <v>15</v>
      </c>
      <c r="D342" t="s">
        <v>16</v>
      </c>
      <c r="E342" t="s">
        <v>20</v>
      </c>
      <c r="F342">
        <v>6347</v>
      </c>
      <c r="G342">
        <v>4</v>
      </c>
      <c r="H342" t="s">
        <v>18</v>
      </c>
      <c r="I342">
        <v>6</v>
      </c>
      <c r="J342" t="s">
        <v>18</v>
      </c>
      <c r="K342">
        <f>IF($J342="Yes",1,0)</f>
        <v>0</v>
      </c>
    </row>
    <row r="343" spans="1:11">
      <c r="A343">
        <v>461</v>
      </c>
      <c r="B343">
        <v>38</v>
      </c>
      <c r="C343" t="s">
        <v>15</v>
      </c>
      <c r="D343" t="s">
        <v>16</v>
      </c>
      <c r="E343" t="s">
        <v>24</v>
      </c>
      <c r="F343">
        <v>11510</v>
      </c>
      <c r="G343">
        <v>4</v>
      </c>
      <c r="H343" t="s">
        <v>14</v>
      </c>
      <c r="I343">
        <v>11</v>
      </c>
      <c r="J343" t="s">
        <v>18</v>
      </c>
      <c r="K343">
        <f>IF($J343="Yes",1,0)</f>
        <v>0</v>
      </c>
    </row>
    <row r="344" spans="1:11">
      <c r="A344">
        <v>462</v>
      </c>
      <c r="B344">
        <v>31</v>
      </c>
      <c r="C344" t="s">
        <v>11</v>
      </c>
      <c r="D344" t="s">
        <v>16</v>
      </c>
      <c r="E344" t="s">
        <v>20</v>
      </c>
      <c r="F344">
        <v>7143</v>
      </c>
      <c r="G344">
        <v>4</v>
      </c>
      <c r="H344" t="s">
        <v>14</v>
      </c>
      <c r="I344">
        <v>11</v>
      </c>
      <c r="J344" t="s">
        <v>18</v>
      </c>
      <c r="K344">
        <f>IF($J344="Yes",1,0)</f>
        <v>0</v>
      </c>
    </row>
    <row r="345" spans="1:11">
      <c r="A345">
        <v>463</v>
      </c>
      <c r="B345">
        <v>29</v>
      </c>
      <c r="C345" t="s">
        <v>11</v>
      </c>
      <c r="D345" t="s">
        <v>12</v>
      </c>
      <c r="E345" t="s">
        <v>13</v>
      </c>
      <c r="F345">
        <v>8268</v>
      </c>
      <c r="G345">
        <v>2</v>
      </c>
      <c r="H345" t="s">
        <v>14</v>
      </c>
      <c r="I345">
        <v>7</v>
      </c>
      <c r="J345" t="s">
        <v>18</v>
      </c>
      <c r="K345">
        <f>IF($J345="Yes",1,0)</f>
        <v>0</v>
      </c>
    </row>
    <row r="346" spans="1:11">
      <c r="A346">
        <v>464</v>
      </c>
      <c r="B346">
        <v>35</v>
      </c>
      <c r="C346" t="s">
        <v>15</v>
      </c>
      <c r="D346" t="s">
        <v>16</v>
      </c>
      <c r="E346" t="s">
        <v>20</v>
      </c>
      <c r="F346">
        <v>8095</v>
      </c>
      <c r="G346">
        <v>2</v>
      </c>
      <c r="H346" t="s">
        <v>18</v>
      </c>
      <c r="I346">
        <v>16</v>
      </c>
      <c r="J346" t="s">
        <v>18</v>
      </c>
      <c r="K346">
        <f>IF($J346="Yes",1,0)</f>
        <v>0</v>
      </c>
    </row>
    <row r="347" spans="1:11">
      <c r="A347">
        <v>465</v>
      </c>
      <c r="B347">
        <v>23</v>
      </c>
      <c r="C347" t="s">
        <v>15</v>
      </c>
      <c r="D347" t="s">
        <v>16</v>
      </c>
      <c r="E347" t="s">
        <v>17</v>
      </c>
      <c r="F347">
        <v>2904</v>
      </c>
      <c r="G347">
        <v>4</v>
      </c>
      <c r="H347" t="s">
        <v>18</v>
      </c>
      <c r="I347">
        <v>4</v>
      </c>
      <c r="J347" t="s">
        <v>18</v>
      </c>
      <c r="K347">
        <f>IF($J347="Yes",1,0)</f>
        <v>0</v>
      </c>
    </row>
    <row r="348" spans="1:11">
      <c r="A348">
        <v>466</v>
      </c>
      <c r="B348">
        <v>41</v>
      </c>
      <c r="C348" t="s">
        <v>15</v>
      </c>
      <c r="D348" t="s">
        <v>16</v>
      </c>
      <c r="E348" t="s">
        <v>20</v>
      </c>
      <c r="F348">
        <v>6032</v>
      </c>
      <c r="G348">
        <v>2</v>
      </c>
      <c r="H348" t="s">
        <v>14</v>
      </c>
      <c r="I348">
        <v>5</v>
      </c>
      <c r="J348" t="s">
        <v>18</v>
      </c>
      <c r="K348">
        <f>IF($J348="Yes",1,0)</f>
        <v>0</v>
      </c>
    </row>
    <row r="349" spans="1:11">
      <c r="A349">
        <v>467</v>
      </c>
      <c r="B349">
        <v>47</v>
      </c>
      <c r="C349" t="s">
        <v>15</v>
      </c>
      <c r="D349" t="s">
        <v>12</v>
      </c>
      <c r="E349" t="s">
        <v>23</v>
      </c>
      <c r="F349">
        <v>2976</v>
      </c>
      <c r="G349">
        <v>3</v>
      </c>
      <c r="H349" t="s">
        <v>18</v>
      </c>
      <c r="I349">
        <v>0</v>
      </c>
      <c r="J349" t="s">
        <v>18</v>
      </c>
      <c r="K349">
        <f>IF($J349="Yes",1,0)</f>
        <v>0</v>
      </c>
    </row>
    <row r="350" spans="1:11">
      <c r="A350">
        <v>468</v>
      </c>
      <c r="B350">
        <v>42</v>
      </c>
      <c r="C350" t="s">
        <v>11</v>
      </c>
      <c r="D350" t="s">
        <v>16</v>
      </c>
      <c r="E350" t="s">
        <v>24</v>
      </c>
      <c r="F350">
        <v>15992</v>
      </c>
      <c r="G350">
        <v>4</v>
      </c>
      <c r="H350" t="s">
        <v>18</v>
      </c>
      <c r="I350">
        <v>1</v>
      </c>
      <c r="J350" t="s">
        <v>18</v>
      </c>
      <c r="K350">
        <f>IF($J350="Yes",1,0)</f>
        <v>0</v>
      </c>
    </row>
    <row r="351" spans="1:11">
      <c r="A351">
        <v>469</v>
      </c>
      <c r="B351">
        <v>29</v>
      </c>
      <c r="C351" t="s">
        <v>15</v>
      </c>
      <c r="D351" t="s">
        <v>12</v>
      </c>
      <c r="E351" t="s">
        <v>13</v>
      </c>
      <c r="F351">
        <v>4649</v>
      </c>
      <c r="G351">
        <v>3</v>
      </c>
      <c r="H351" t="s">
        <v>18</v>
      </c>
      <c r="I351">
        <v>4</v>
      </c>
      <c r="J351" t="s">
        <v>18</v>
      </c>
      <c r="K351">
        <f>IF($J351="Yes",1,0)</f>
        <v>0</v>
      </c>
    </row>
    <row r="352" spans="1:11">
      <c r="A352">
        <v>470</v>
      </c>
      <c r="B352">
        <v>42</v>
      </c>
      <c r="C352" t="s">
        <v>15</v>
      </c>
      <c r="D352" t="s">
        <v>25</v>
      </c>
      <c r="E352" t="s">
        <v>25</v>
      </c>
      <c r="F352">
        <v>2696</v>
      </c>
      <c r="G352">
        <v>3</v>
      </c>
      <c r="H352" t="s">
        <v>14</v>
      </c>
      <c r="I352">
        <v>3</v>
      </c>
      <c r="J352" t="s">
        <v>18</v>
      </c>
      <c r="K352">
        <f>IF($J352="Yes",1,0)</f>
        <v>0</v>
      </c>
    </row>
    <row r="353" spans="1:11">
      <c r="A353">
        <v>471</v>
      </c>
      <c r="B353">
        <v>32</v>
      </c>
      <c r="C353" t="s">
        <v>11</v>
      </c>
      <c r="D353" t="s">
        <v>16</v>
      </c>
      <c r="E353" t="s">
        <v>19</v>
      </c>
      <c r="F353">
        <v>2370</v>
      </c>
      <c r="G353">
        <v>2</v>
      </c>
      <c r="H353" t="s">
        <v>18</v>
      </c>
      <c r="I353">
        <v>8</v>
      </c>
      <c r="J353" t="s">
        <v>18</v>
      </c>
      <c r="K353">
        <f>IF($J353="Yes",1,0)</f>
        <v>0</v>
      </c>
    </row>
    <row r="354" spans="1:11">
      <c r="A354">
        <v>473</v>
      </c>
      <c r="B354">
        <v>48</v>
      </c>
      <c r="C354" t="s">
        <v>11</v>
      </c>
      <c r="D354" t="s">
        <v>12</v>
      </c>
      <c r="E354" t="s">
        <v>22</v>
      </c>
      <c r="F354">
        <v>12504</v>
      </c>
      <c r="G354">
        <v>3</v>
      </c>
      <c r="H354" t="s">
        <v>18</v>
      </c>
      <c r="I354">
        <v>0</v>
      </c>
      <c r="J354" t="s">
        <v>18</v>
      </c>
      <c r="K354">
        <f>IF($J354="Yes",1,0)</f>
        <v>0</v>
      </c>
    </row>
    <row r="355" spans="1:11">
      <c r="A355">
        <v>474</v>
      </c>
      <c r="B355">
        <v>37</v>
      </c>
      <c r="C355" t="s">
        <v>15</v>
      </c>
      <c r="D355" t="s">
        <v>16</v>
      </c>
      <c r="E355" t="s">
        <v>17</v>
      </c>
      <c r="F355">
        <v>5974</v>
      </c>
      <c r="G355">
        <v>1</v>
      </c>
      <c r="H355" t="s">
        <v>14</v>
      </c>
      <c r="I355">
        <v>7</v>
      </c>
      <c r="J355" t="s">
        <v>18</v>
      </c>
      <c r="K355">
        <f>IF($J355="Yes",1,0)</f>
        <v>0</v>
      </c>
    </row>
    <row r="356" spans="1:11">
      <c r="A356">
        <v>475</v>
      </c>
      <c r="B356">
        <v>30</v>
      </c>
      <c r="C356" t="s">
        <v>11</v>
      </c>
      <c r="D356" t="s">
        <v>12</v>
      </c>
      <c r="E356" t="s">
        <v>13</v>
      </c>
      <c r="F356">
        <v>4736</v>
      </c>
      <c r="G356">
        <v>3</v>
      </c>
      <c r="H356" t="s">
        <v>14</v>
      </c>
      <c r="I356">
        <v>2</v>
      </c>
      <c r="J356" t="s">
        <v>18</v>
      </c>
      <c r="K356">
        <f>IF($J356="Yes",1,0)</f>
        <v>0</v>
      </c>
    </row>
    <row r="357" spans="1:11">
      <c r="A357">
        <v>476</v>
      </c>
      <c r="B357">
        <v>26</v>
      </c>
      <c r="C357" t="s">
        <v>15</v>
      </c>
      <c r="D357" t="s">
        <v>12</v>
      </c>
      <c r="E357" t="s">
        <v>13</v>
      </c>
      <c r="F357">
        <v>5296</v>
      </c>
      <c r="G357">
        <v>3</v>
      </c>
      <c r="H357" t="s">
        <v>18</v>
      </c>
      <c r="I357">
        <v>8</v>
      </c>
      <c r="J357" t="s">
        <v>18</v>
      </c>
      <c r="K357">
        <f>IF($J357="Yes",1,0)</f>
        <v>0</v>
      </c>
    </row>
    <row r="358" spans="1:11">
      <c r="A358">
        <v>477</v>
      </c>
      <c r="B358">
        <v>42</v>
      </c>
      <c r="C358" t="s">
        <v>15</v>
      </c>
      <c r="D358" t="s">
        <v>16</v>
      </c>
      <c r="E358" t="s">
        <v>21</v>
      </c>
      <c r="F358">
        <v>6781</v>
      </c>
      <c r="G358">
        <v>4</v>
      </c>
      <c r="H358" t="s">
        <v>18</v>
      </c>
      <c r="I358">
        <v>1</v>
      </c>
      <c r="J358" t="s">
        <v>18</v>
      </c>
      <c r="K358">
        <f>IF($J358="Yes",1,0)</f>
        <v>0</v>
      </c>
    </row>
    <row r="359" spans="1:11">
      <c r="A359">
        <v>478</v>
      </c>
      <c r="B359">
        <v>21</v>
      </c>
      <c r="C359" t="s">
        <v>11</v>
      </c>
      <c r="D359" t="s">
        <v>12</v>
      </c>
      <c r="E359" t="s">
        <v>23</v>
      </c>
      <c r="F359">
        <v>2174</v>
      </c>
      <c r="G359">
        <v>2</v>
      </c>
      <c r="H359" t="s">
        <v>14</v>
      </c>
      <c r="I359">
        <v>3</v>
      </c>
      <c r="J359" t="s">
        <v>14</v>
      </c>
      <c r="K359">
        <f>IF($J359="Yes",1,0)</f>
        <v>1</v>
      </c>
    </row>
    <row r="360" spans="1:11">
      <c r="A360">
        <v>479</v>
      </c>
      <c r="B360">
        <v>36</v>
      </c>
      <c r="C360" t="s">
        <v>11</v>
      </c>
      <c r="D360" t="s">
        <v>12</v>
      </c>
      <c r="E360" t="s">
        <v>13</v>
      </c>
      <c r="F360">
        <v>6653</v>
      </c>
      <c r="G360">
        <v>4</v>
      </c>
      <c r="H360" t="s">
        <v>18</v>
      </c>
      <c r="I360">
        <v>1</v>
      </c>
      <c r="J360" t="s">
        <v>18</v>
      </c>
      <c r="K360">
        <f>IF($J360="Yes",1,0)</f>
        <v>0</v>
      </c>
    </row>
    <row r="361" spans="1:11">
      <c r="A361">
        <v>481</v>
      </c>
      <c r="B361">
        <v>36</v>
      </c>
      <c r="C361" t="s">
        <v>15</v>
      </c>
      <c r="D361" t="s">
        <v>12</v>
      </c>
      <c r="E361" t="s">
        <v>13</v>
      </c>
      <c r="F361">
        <v>9699</v>
      </c>
      <c r="G361">
        <v>4</v>
      </c>
      <c r="H361" t="s">
        <v>18</v>
      </c>
      <c r="I361">
        <v>13</v>
      </c>
      <c r="J361" t="s">
        <v>18</v>
      </c>
      <c r="K361">
        <f>IF($J361="Yes",1,0)</f>
        <v>0</v>
      </c>
    </row>
    <row r="362" spans="1:11">
      <c r="A362">
        <v>482</v>
      </c>
      <c r="B362">
        <v>57</v>
      </c>
      <c r="C362" t="s">
        <v>15</v>
      </c>
      <c r="D362" t="s">
        <v>16</v>
      </c>
      <c r="E362" t="s">
        <v>21</v>
      </c>
      <c r="F362">
        <v>6755</v>
      </c>
      <c r="G362">
        <v>3</v>
      </c>
      <c r="H362" t="s">
        <v>18</v>
      </c>
      <c r="I362">
        <v>3</v>
      </c>
      <c r="J362" t="s">
        <v>18</v>
      </c>
      <c r="K362">
        <f>IF($J362="Yes",1,0)</f>
        <v>0</v>
      </c>
    </row>
    <row r="363" spans="1:11">
      <c r="A363">
        <v>483</v>
      </c>
      <c r="B363">
        <v>40</v>
      </c>
      <c r="C363" t="s">
        <v>11</v>
      </c>
      <c r="D363" t="s">
        <v>16</v>
      </c>
      <c r="E363" t="s">
        <v>19</v>
      </c>
      <c r="F363">
        <v>2213</v>
      </c>
      <c r="G363">
        <v>3</v>
      </c>
      <c r="H363" t="s">
        <v>14</v>
      </c>
      <c r="I363">
        <v>7</v>
      </c>
      <c r="J363" t="s">
        <v>18</v>
      </c>
      <c r="K363">
        <f>IF($J363="Yes",1,0)</f>
        <v>0</v>
      </c>
    </row>
    <row r="364" spans="1:11">
      <c r="A364">
        <v>484</v>
      </c>
      <c r="B364">
        <v>21</v>
      </c>
      <c r="C364" t="s">
        <v>15</v>
      </c>
      <c r="D364" t="s">
        <v>12</v>
      </c>
      <c r="E364" t="s">
        <v>23</v>
      </c>
      <c r="F364">
        <v>2610</v>
      </c>
      <c r="G364">
        <v>4</v>
      </c>
      <c r="H364" t="s">
        <v>18</v>
      </c>
      <c r="I364">
        <v>3</v>
      </c>
      <c r="J364" t="s">
        <v>18</v>
      </c>
      <c r="K364">
        <f>IF($J364="Yes",1,0)</f>
        <v>0</v>
      </c>
    </row>
    <row r="365" spans="1:11">
      <c r="A365">
        <v>485</v>
      </c>
      <c r="B365">
        <v>33</v>
      </c>
      <c r="C365" t="s">
        <v>11</v>
      </c>
      <c r="D365" t="s">
        <v>12</v>
      </c>
      <c r="E365" t="s">
        <v>23</v>
      </c>
      <c r="F365">
        <v>2851</v>
      </c>
      <c r="G365">
        <v>3</v>
      </c>
      <c r="H365" t="s">
        <v>14</v>
      </c>
      <c r="I365">
        <v>1</v>
      </c>
      <c r="J365" t="s">
        <v>14</v>
      </c>
      <c r="K365">
        <f>IF($J365="Yes",1,0)</f>
        <v>1</v>
      </c>
    </row>
    <row r="366" spans="1:11">
      <c r="A366">
        <v>486</v>
      </c>
      <c r="B366">
        <v>37</v>
      </c>
      <c r="C366" t="s">
        <v>11</v>
      </c>
      <c r="D366" t="s">
        <v>16</v>
      </c>
      <c r="E366" t="s">
        <v>19</v>
      </c>
      <c r="F366">
        <v>3452</v>
      </c>
      <c r="G366">
        <v>1</v>
      </c>
      <c r="H366" t="s">
        <v>18</v>
      </c>
      <c r="I366">
        <v>5</v>
      </c>
      <c r="J366" t="s">
        <v>18</v>
      </c>
      <c r="K366">
        <f>IF($J366="Yes",1,0)</f>
        <v>0</v>
      </c>
    </row>
    <row r="367" spans="1:11">
      <c r="A367">
        <v>487</v>
      </c>
      <c r="B367">
        <v>46</v>
      </c>
      <c r="C367" t="s">
        <v>11</v>
      </c>
      <c r="D367" t="s">
        <v>16</v>
      </c>
      <c r="E367" t="s">
        <v>20</v>
      </c>
      <c r="F367">
        <v>5258</v>
      </c>
      <c r="G367">
        <v>3</v>
      </c>
      <c r="H367" t="s">
        <v>18</v>
      </c>
      <c r="I367">
        <v>1</v>
      </c>
      <c r="J367" t="s">
        <v>18</v>
      </c>
      <c r="K367">
        <f>IF($J367="Yes",1,0)</f>
        <v>0</v>
      </c>
    </row>
    <row r="368" spans="1:11">
      <c r="A368">
        <v>488</v>
      </c>
      <c r="B368">
        <v>41</v>
      </c>
      <c r="C368" t="s">
        <v>15</v>
      </c>
      <c r="D368" t="s">
        <v>12</v>
      </c>
      <c r="E368" t="s">
        <v>13</v>
      </c>
      <c r="F368">
        <v>9355</v>
      </c>
      <c r="G368">
        <v>2</v>
      </c>
      <c r="H368" t="s">
        <v>18</v>
      </c>
      <c r="I368">
        <v>8</v>
      </c>
      <c r="J368" t="s">
        <v>14</v>
      </c>
      <c r="K368">
        <f>IF($J368="Yes",1,0)</f>
        <v>1</v>
      </c>
    </row>
    <row r="369" spans="1:11">
      <c r="A369">
        <v>491</v>
      </c>
      <c r="B369">
        <v>50</v>
      </c>
      <c r="C369" t="s">
        <v>15</v>
      </c>
      <c r="D369" t="s">
        <v>16</v>
      </c>
      <c r="E369" t="s">
        <v>21</v>
      </c>
      <c r="F369">
        <v>10496</v>
      </c>
      <c r="G369">
        <v>4</v>
      </c>
      <c r="H369" t="s">
        <v>18</v>
      </c>
      <c r="I369">
        <v>4</v>
      </c>
      <c r="J369" t="s">
        <v>18</v>
      </c>
      <c r="K369">
        <f>IF($J369="Yes",1,0)</f>
        <v>0</v>
      </c>
    </row>
    <row r="370" spans="1:11">
      <c r="A370">
        <v>492</v>
      </c>
      <c r="B370">
        <v>40</v>
      </c>
      <c r="C370" t="s">
        <v>15</v>
      </c>
      <c r="D370" t="s">
        <v>12</v>
      </c>
      <c r="E370" t="s">
        <v>13</v>
      </c>
      <c r="F370">
        <v>6380</v>
      </c>
      <c r="G370">
        <v>3</v>
      </c>
      <c r="H370" t="s">
        <v>14</v>
      </c>
      <c r="I370">
        <v>6</v>
      </c>
      <c r="J370" t="s">
        <v>14</v>
      </c>
      <c r="K370">
        <f>IF($J370="Yes",1,0)</f>
        <v>1</v>
      </c>
    </row>
    <row r="371" spans="1:11">
      <c r="A371">
        <v>493</v>
      </c>
      <c r="B371">
        <v>31</v>
      </c>
      <c r="C371" t="s">
        <v>15</v>
      </c>
      <c r="D371" t="s">
        <v>16</v>
      </c>
      <c r="E371" t="s">
        <v>17</v>
      </c>
      <c r="F371">
        <v>2657</v>
      </c>
      <c r="G371">
        <v>2</v>
      </c>
      <c r="H371" t="s">
        <v>14</v>
      </c>
      <c r="I371">
        <v>2</v>
      </c>
      <c r="J371" t="s">
        <v>18</v>
      </c>
      <c r="K371">
        <f>IF($J371="Yes",1,0)</f>
        <v>0</v>
      </c>
    </row>
    <row r="372" spans="1:11">
      <c r="A372">
        <v>494</v>
      </c>
      <c r="B372">
        <v>21</v>
      </c>
      <c r="C372" t="s">
        <v>11</v>
      </c>
      <c r="D372" t="s">
        <v>12</v>
      </c>
      <c r="E372" t="s">
        <v>23</v>
      </c>
      <c r="F372">
        <v>2716</v>
      </c>
      <c r="G372">
        <v>2</v>
      </c>
      <c r="H372" t="s">
        <v>18</v>
      </c>
      <c r="I372">
        <v>1</v>
      </c>
      <c r="J372" t="s">
        <v>14</v>
      </c>
      <c r="K372">
        <f>IF($J372="Yes",1,0)</f>
        <v>1</v>
      </c>
    </row>
    <row r="373" spans="1:11">
      <c r="A373">
        <v>495</v>
      </c>
      <c r="B373">
        <v>29</v>
      </c>
      <c r="C373" t="s">
        <v>15</v>
      </c>
      <c r="D373" t="s">
        <v>16</v>
      </c>
      <c r="E373" t="s">
        <v>17</v>
      </c>
      <c r="F373">
        <v>2201</v>
      </c>
      <c r="G373">
        <v>4</v>
      </c>
      <c r="H373" t="s">
        <v>18</v>
      </c>
      <c r="I373">
        <v>3</v>
      </c>
      <c r="J373" t="s">
        <v>18</v>
      </c>
      <c r="K373">
        <f>IF($J373="Yes",1,0)</f>
        <v>0</v>
      </c>
    </row>
    <row r="374" spans="1:11">
      <c r="A374">
        <v>496</v>
      </c>
      <c r="B374">
        <v>35</v>
      </c>
      <c r="C374" t="s">
        <v>15</v>
      </c>
      <c r="D374" t="s">
        <v>16</v>
      </c>
      <c r="E374" t="s">
        <v>21</v>
      </c>
      <c r="F374">
        <v>6540</v>
      </c>
      <c r="G374">
        <v>2</v>
      </c>
      <c r="H374" t="s">
        <v>18</v>
      </c>
      <c r="I374">
        <v>1</v>
      </c>
      <c r="J374" t="s">
        <v>18</v>
      </c>
      <c r="K374">
        <f>IF($J374="Yes",1,0)</f>
        <v>0</v>
      </c>
    </row>
    <row r="375" spans="1:11">
      <c r="A375">
        <v>497</v>
      </c>
      <c r="B375">
        <v>27</v>
      </c>
      <c r="C375" t="s">
        <v>15</v>
      </c>
      <c r="D375" t="s">
        <v>16</v>
      </c>
      <c r="E375" t="s">
        <v>19</v>
      </c>
      <c r="F375">
        <v>3816</v>
      </c>
      <c r="G375">
        <v>2</v>
      </c>
      <c r="H375" t="s">
        <v>18</v>
      </c>
      <c r="I375">
        <v>5</v>
      </c>
      <c r="J375" t="s">
        <v>18</v>
      </c>
      <c r="K375">
        <f>IF($J375="Yes",1,0)</f>
        <v>0</v>
      </c>
    </row>
    <row r="376" spans="1:11">
      <c r="A376">
        <v>498</v>
      </c>
      <c r="B376">
        <v>28</v>
      </c>
      <c r="C376" t="s">
        <v>15</v>
      </c>
      <c r="D376" t="s">
        <v>12</v>
      </c>
      <c r="E376" t="s">
        <v>13</v>
      </c>
      <c r="F376">
        <v>5253</v>
      </c>
      <c r="G376">
        <v>4</v>
      </c>
      <c r="H376" t="s">
        <v>18</v>
      </c>
      <c r="I376">
        <v>7</v>
      </c>
      <c r="J376" t="s">
        <v>18</v>
      </c>
      <c r="K376">
        <f>IF($J376="Yes",1,0)</f>
        <v>0</v>
      </c>
    </row>
    <row r="377" spans="1:11">
      <c r="A377">
        <v>499</v>
      </c>
      <c r="B377">
        <v>49</v>
      </c>
      <c r="C377" t="s">
        <v>15</v>
      </c>
      <c r="D377" t="s">
        <v>16</v>
      </c>
      <c r="E377" t="s">
        <v>21</v>
      </c>
      <c r="F377">
        <v>10965</v>
      </c>
      <c r="G377">
        <v>3</v>
      </c>
      <c r="H377" t="s">
        <v>18</v>
      </c>
      <c r="I377">
        <v>5</v>
      </c>
      <c r="J377" t="s">
        <v>18</v>
      </c>
      <c r="K377">
        <f>IF($J377="Yes",1,0)</f>
        <v>0</v>
      </c>
    </row>
    <row r="378" spans="1:11">
      <c r="A378">
        <v>500</v>
      </c>
      <c r="B378">
        <v>51</v>
      </c>
      <c r="C378" t="s">
        <v>11</v>
      </c>
      <c r="D378" t="s">
        <v>12</v>
      </c>
      <c r="E378" t="s">
        <v>13</v>
      </c>
      <c r="F378">
        <v>4936</v>
      </c>
      <c r="G378">
        <v>4</v>
      </c>
      <c r="H378" t="s">
        <v>18</v>
      </c>
      <c r="I378">
        <v>7</v>
      </c>
      <c r="J378" t="s">
        <v>18</v>
      </c>
      <c r="K378">
        <f>IF($J378="Yes",1,0)</f>
        <v>0</v>
      </c>
    </row>
    <row r="379" spans="1:11">
      <c r="A379">
        <v>501</v>
      </c>
      <c r="B379">
        <v>36</v>
      </c>
      <c r="C379" t="s">
        <v>11</v>
      </c>
      <c r="D379" t="s">
        <v>16</v>
      </c>
      <c r="E379" t="s">
        <v>17</v>
      </c>
      <c r="F379">
        <v>2543</v>
      </c>
      <c r="G379">
        <v>3</v>
      </c>
      <c r="H379" t="s">
        <v>18</v>
      </c>
      <c r="I379">
        <v>2</v>
      </c>
      <c r="J379" t="s">
        <v>18</v>
      </c>
      <c r="K379">
        <f>IF($J379="Yes",1,0)</f>
        <v>0</v>
      </c>
    </row>
    <row r="380" spans="1:11">
      <c r="A380">
        <v>502</v>
      </c>
      <c r="B380">
        <v>34</v>
      </c>
      <c r="C380" t="s">
        <v>15</v>
      </c>
      <c r="D380" t="s">
        <v>12</v>
      </c>
      <c r="E380" t="s">
        <v>13</v>
      </c>
      <c r="F380">
        <v>5304</v>
      </c>
      <c r="G380">
        <v>4</v>
      </c>
      <c r="H380" t="s">
        <v>14</v>
      </c>
      <c r="I380">
        <v>5</v>
      </c>
      <c r="J380" t="s">
        <v>14</v>
      </c>
      <c r="K380">
        <f>IF($J380="Yes",1,0)</f>
        <v>1</v>
      </c>
    </row>
    <row r="381" spans="1:11">
      <c r="A381">
        <v>505</v>
      </c>
      <c r="B381">
        <v>55</v>
      </c>
      <c r="C381" t="s">
        <v>11</v>
      </c>
      <c r="D381" t="s">
        <v>16</v>
      </c>
      <c r="E381" t="s">
        <v>22</v>
      </c>
      <c r="F381">
        <v>16659</v>
      </c>
      <c r="G381">
        <v>4</v>
      </c>
      <c r="H381" t="s">
        <v>14</v>
      </c>
      <c r="I381">
        <v>5</v>
      </c>
      <c r="J381" t="s">
        <v>18</v>
      </c>
      <c r="K381">
        <f>IF($J381="Yes",1,0)</f>
        <v>0</v>
      </c>
    </row>
    <row r="382" spans="1:11">
      <c r="A382">
        <v>507</v>
      </c>
      <c r="B382">
        <v>24</v>
      </c>
      <c r="C382" t="s">
        <v>11</v>
      </c>
      <c r="D382" t="s">
        <v>12</v>
      </c>
      <c r="E382" t="s">
        <v>13</v>
      </c>
      <c r="F382">
        <v>4260</v>
      </c>
      <c r="G382">
        <v>3</v>
      </c>
      <c r="H382" t="s">
        <v>14</v>
      </c>
      <c r="I382">
        <v>5</v>
      </c>
      <c r="J382" t="s">
        <v>18</v>
      </c>
      <c r="K382">
        <f>IF($J382="Yes",1,0)</f>
        <v>0</v>
      </c>
    </row>
    <row r="383" spans="1:11">
      <c r="A383">
        <v>508</v>
      </c>
      <c r="B383">
        <v>30</v>
      </c>
      <c r="C383" t="s">
        <v>15</v>
      </c>
      <c r="D383" t="s">
        <v>12</v>
      </c>
      <c r="E383" t="s">
        <v>23</v>
      </c>
      <c r="F383">
        <v>2476</v>
      </c>
      <c r="G383">
        <v>2</v>
      </c>
      <c r="H383" t="s">
        <v>18</v>
      </c>
      <c r="I383">
        <v>1</v>
      </c>
      <c r="J383" t="s">
        <v>18</v>
      </c>
      <c r="K383">
        <f>IF($J383="Yes",1,0)</f>
        <v>0</v>
      </c>
    </row>
    <row r="384" spans="1:11">
      <c r="A384">
        <v>510</v>
      </c>
      <c r="B384">
        <v>26</v>
      </c>
      <c r="C384" t="s">
        <v>15</v>
      </c>
      <c r="D384" t="s">
        <v>16</v>
      </c>
      <c r="E384" t="s">
        <v>17</v>
      </c>
      <c r="F384">
        <v>3102</v>
      </c>
      <c r="G384">
        <v>1</v>
      </c>
      <c r="H384" t="s">
        <v>18</v>
      </c>
      <c r="I384">
        <v>6</v>
      </c>
      <c r="J384" t="s">
        <v>14</v>
      </c>
      <c r="K384">
        <f>IF($J384="Yes",1,0)</f>
        <v>1</v>
      </c>
    </row>
    <row r="385" spans="1:11">
      <c r="A385">
        <v>511</v>
      </c>
      <c r="B385">
        <v>22</v>
      </c>
      <c r="C385" t="s">
        <v>11</v>
      </c>
      <c r="D385" t="s">
        <v>16</v>
      </c>
      <c r="E385" t="s">
        <v>17</v>
      </c>
      <c r="F385">
        <v>2244</v>
      </c>
      <c r="G385">
        <v>2</v>
      </c>
      <c r="H385" t="s">
        <v>18</v>
      </c>
      <c r="I385">
        <v>2</v>
      </c>
      <c r="J385" t="s">
        <v>18</v>
      </c>
      <c r="K385">
        <f>IF($J385="Yes",1,0)</f>
        <v>0</v>
      </c>
    </row>
    <row r="386" spans="1:11">
      <c r="A386">
        <v>513</v>
      </c>
      <c r="B386">
        <v>36</v>
      </c>
      <c r="C386" t="s">
        <v>15</v>
      </c>
      <c r="D386" t="s">
        <v>12</v>
      </c>
      <c r="E386" t="s">
        <v>13</v>
      </c>
      <c r="F386">
        <v>7596</v>
      </c>
      <c r="G386">
        <v>3</v>
      </c>
      <c r="H386" t="s">
        <v>18</v>
      </c>
      <c r="I386">
        <v>10</v>
      </c>
      <c r="J386" t="s">
        <v>18</v>
      </c>
      <c r="K386">
        <f>IF($J386="Yes",1,0)</f>
        <v>0</v>
      </c>
    </row>
    <row r="387" spans="1:11">
      <c r="A387">
        <v>514</v>
      </c>
      <c r="B387">
        <v>30</v>
      </c>
      <c r="C387" t="s">
        <v>15</v>
      </c>
      <c r="D387" t="s">
        <v>16</v>
      </c>
      <c r="E387" t="s">
        <v>17</v>
      </c>
      <c r="F387">
        <v>2285</v>
      </c>
      <c r="G387">
        <v>4</v>
      </c>
      <c r="H387" t="s">
        <v>14</v>
      </c>
      <c r="I387">
        <v>1</v>
      </c>
      <c r="J387" t="s">
        <v>14</v>
      </c>
      <c r="K387">
        <f>IF($J387="Yes",1,0)</f>
        <v>1</v>
      </c>
    </row>
    <row r="388" spans="1:11">
      <c r="A388">
        <v>515</v>
      </c>
      <c r="B388">
        <v>37</v>
      </c>
      <c r="C388" t="s">
        <v>11</v>
      </c>
      <c r="D388" t="s">
        <v>16</v>
      </c>
      <c r="E388" t="s">
        <v>19</v>
      </c>
      <c r="F388">
        <v>3034</v>
      </c>
      <c r="G388">
        <v>1</v>
      </c>
      <c r="H388" t="s">
        <v>18</v>
      </c>
      <c r="I388">
        <v>18</v>
      </c>
      <c r="J388" t="s">
        <v>18</v>
      </c>
      <c r="K388">
        <f>IF($J388="Yes",1,0)</f>
        <v>0</v>
      </c>
    </row>
    <row r="389" spans="1:11">
      <c r="A389">
        <v>516</v>
      </c>
      <c r="B389">
        <v>40</v>
      </c>
      <c r="C389" t="s">
        <v>11</v>
      </c>
      <c r="D389" t="s">
        <v>12</v>
      </c>
      <c r="E389" t="s">
        <v>13</v>
      </c>
      <c r="F389">
        <v>5715</v>
      </c>
      <c r="G389">
        <v>2</v>
      </c>
      <c r="H389" t="s">
        <v>18</v>
      </c>
      <c r="I389">
        <v>5</v>
      </c>
      <c r="J389" t="s">
        <v>18</v>
      </c>
      <c r="K389">
        <f>IF($J389="Yes",1,0)</f>
        <v>0</v>
      </c>
    </row>
    <row r="390" spans="1:11">
      <c r="A390">
        <v>517</v>
      </c>
      <c r="B390">
        <v>42</v>
      </c>
      <c r="C390" t="s">
        <v>11</v>
      </c>
      <c r="D390" t="s">
        <v>16</v>
      </c>
      <c r="E390" t="s">
        <v>19</v>
      </c>
      <c r="F390">
        <v>2576</v>
      </c>
      <c r="G390">
        <v>1</v>
      </c>
      <c r="H390" t="s">
        <v>18</v>
      </c>
      <c r="I390">
        <v>5</v>
      </c>
      <c r="J390" t="s">
        <v>18</v>
      </c>
      <c r="K390">
        <f>IF($J390="Yes",1,0)</f>
        <v>0</v>
      </c>
    </row>
    <row r="391" spans="1:11">
      <c r="A391">
        <v>518</v>
      </c>
      <c r="B391">
        <v>37</v>
      </c>
      <c r="C391" t="s">
        <v>15</v>
      </c>
      <c r="D391" t="s">
        <v>16</v>
      </c>
      <c r="E391" t="s">
        <v>20</v>
      </c>
      <c r="F391">
        <v>4197</v>
      </c>
      <c r="G391">
        <v>2</v>
      </c>
      <c r="H391" t="s">
        <v>14</v>
      </c>
      <c r="I391">
        <v>1</v>
      </c>
      <c r="J391" t="s">
        <v>18</v>
      </c>
      <c r="K391">
        <f>IF($J391="Yes",1,0)</f>
        <v>0</v>
      </c>
    </row>
    <row r="392" spans="1:11">
      <c r="A392">
        <v>520</v>
      </c>
      <c r="B392">
        <v>43</v>
      </c>
      <c r="C392" t="s">
        <v>15</v>
      </c>
      <c r="D392" t="s">
        <v>16</v>
      </c>
      <c r="E392" t="s">
        <v>24</v>
      </c>
      <c r="F392">
        <v>14336</v>
      </c>
      <c r="G392">
        <v>2</v>
      </c>
      <c r="H392" t="s">
        <v>18</v>
      </c>
      <c r="I392">
        <v>25</v>
      </c>
      <c r="J392" t="s">
        <v>18</v>
      </c>
      <c r="K392">
        <f>IF($J392="Yes",1,0)</f>
        <v>0</v>
      </c>
    </row>
    <row r="393" spans="1:11">
      <c r="A393">
        <v>521</v>
      </c>
      <c r="B393">
        <v>40</v>
      </c>
      <c r="C393" t="s">
        <v>11</v>
      </c>
      <c r="D393" t="s">
        <v>16</v>
      </c>
      <c r="E393" t="s">
        <v>19</v>
      </c>
      <c r="F393">
        <v>3448</v>
      </c>
      <c r="G393">
        <v>3</v>
      </c>
      <c r="H393" t="s">
        <v>18</v>
      </c>
      <c r="I393">
        <v>1</v>
      </c>
      <c r="J393" t="s">
        <v>18</v>
      </c>
      <c r="K393">
        <f>IF($J393="Yes",1,0)</f>
        <v>0</v>
      </c>
    </row>
    <row r="394" spans="1:11">
      <c r="A394">
        <v>522</v>
      </c>
      <c r="B394">
        <v>54</v>
      </c>
      <c r="C394" t="s">
        <v>15</v>
      </c>
      <c r="D394" t="s">
        <v>16</v>
      </c>
      <c r="E394" t="s">
        <v>24</v>
      </c>
      <c r="F394">
        <v>19406</v>
      </c>
      <c r="G394">
        <v>1</v>
      </c>
      <c r="H394" t="s">
        <v>18</v>
      </c>
      <c r="I394">
        <v>4</v>
      </c>
      <c r="J394" t="s">
        <v>18</v>
      </c>
      <c r="K394">
        <f>IF($J394="Yes",1,0)</f>
        <v>0</v>
      </c>
    </row>
    <row r="395" spans="1:11">
      <c r="A395">
        <v>523</v>
      </c>
      <c r="B395">
        <v>34</v>
      </c>
      <c r="C395" t="s">
        <v>11</v>
      </c>
      <c r="D395" t="s">
        <v>12</v>
      </c>
      <c r="E395" t="s">
        <v>13</v>
      </c>
      <c r="F395">
        <v>6538</v>
      </c>
      <c r="G395">
        <v>3</v>
      </c>
      <c r="H395" t="s">
        <v>18</v>
      </c>
      <c r="I395">
        <v>3</v>
      </c>
      <c r="J395" t="s">
        <v>18</v>
      </c>
      <c r="K395">
        <f>IF($J395="Yes",1,0)</f>
        <v>0</v>
      </c>
    </row>
    <row r="396" spans="1:11">
      <c r="A396">
        <v>524</v>
      </c>
      <c r="B396">
        <v>31</v>
      </c>
      <c r="C396" t="s">
        <v>11</v>
      </c>
      <c r="D396" t="s">
        <v>16</v>
      </c>
      <c r="E396" t="s">
        <v>20</v>
      </c>
      <c r="F396">
        <v>4306</v>
      </c>
      <c r="G396">
        <v>1</v>
      </c>
      <c r="H396" t="s">
        <v>18</v>
      </c>
      <c r="I396">
        <v>13</v>
      </c>
      <c r="J396" t="s">
        <v>18</v>
      </c>
      <c r="K396">
        <f>IF($J396="Yes",1,0)</f>
        <v>0</v>
      </c>
    </row>
    <row r="397" spans="1:11">
      <c r="A397">
        <v>525</v>
      </c>
      <c r="B397">
        <v>43</v>
      </c>
      <c r="C397" t="s">
        <v>15</v>
      </c>
      <c r="D397" t="s">
        <v>16</v>
      </c>
      <c r="E397" t="s">
        <v>19</v>
      </c>
      <c r="F397">
        <v>2258</v>
      </c>
      <c r="G397">
        <v>4</v>
      </c>
      <c r="H397" t="s">
        <v>18</v>
      </c>
      <c r="I397">
        <v>3</v>
      </c>
      <c r="J397" t="s">
        <v>18</v>
      </c>
      <c r="K397">
        <f>IF($J397="Yes",1,0)</f>
        <v>0</v>
      </c>
    </row>
    <row r="398" spans="1:11">
      <c r="A398">
        <v>526</v>
      </c>
      <c r="B398">
        <v>43</v>
      </c>
      <c r="C398" t="s">
        <v>11</v>
      </c>
      <c r="D398" t="s">
        <v>16</v>
      </c>
      <c r="E398" t="s">
        <v>21</v>
      </c>
      <c r="F398">
        <v>4522</v>
      </c>
      <c r="G398">
        <v>3</v>
      </c>
      <c r="H398" t="s">
        <v>14</v>
      </c>
      <c r="I398">
        <v>5</v>
      </c>
      <c r="J398" t="s">
        <v>18</v>
      </c>
      <c r="K398">
        <f>IF($J398="Yes",1,0)</f>
        <v>0</v>
      </c>
    </row>
    <row r="399" spans="1:11">
      <c r="A399">
        <v>527</v>
      </c>
      <c r="B399">
        <v>25</v>
      </c>
      <c r="C399" t="s">
        <v>11</v>
      </c>
      <c r="D399" t="s">
        <v>12</v>
      </c>
      <c r="E399" t="s">
        <v>13</v>
      </c>
      <c r="F399">
        <v>4487</v>
      </c>
      <c r="G399">
        <v>4</v>
      </c>
      <c r="H399" t="s">
        <v>14</v>
      </c>
      <c r="I399">
        <v>5</v>
      </c>
      <c r="J399" t="s">
        <v>18</v>
      </c>
      <c r="K399">
        <f>IF($J399="Yes",1,0)</f>
        <v>0</v>
      </c>
    </row>
    <row r="400" spans="1:11">
      <c r="A400">
        <v>529</v>
      </c>
      <c r="B400">
        <v>37</v>
      </c>
      <c r="C400" t="s">
        <v>11</v>
      </c>
      <c r="D400" t="s">
        <v>16</v>
      </c>
      <c r="E400" t="s">
        <v>17</v>
      </c>
      <c r="F400">
        <v>4449</v>
      </c>
      <c r="G400">
        <v>3</v>
      </c>
      <c r="H400" t="s">
        <v>14</v>
      </c>
      <c r="I400">
        <v>13</v>
      </c>
      <c r="J400" t="s">
        <v>18</v>
      </c>
      <c r="K400">
        <f>IF($J400="Yes",1,0)</f>
        <v>0</v>
      </c>
    </row>
    <row r="401" spans="1:11">
      <c r="A401">
        <v>530</v>
      </c>
      <c r="B401">
        <v>31</v>
      </c>
      <c r="C401" t="s">
        <v>15</v>
      </c>
      <c r="D401" t="s">
        <v>16</v>
      </c>
      <c r="E401" t="s">
        <v>19</v>
      </c>
      <c r="F401">
        <v>2218</v>
      </c>
      <c r="G401">
        <v>1</v>
      </c>
      <c r="H401" t="s">
        <v>18</v>
      </c>
      <c r="I401">
        <v>4</v>
      </c>
      <c r="J401" t="s">
        <v>18</v>
      </c>
      <c r="K401">
        <f>IF($J401="Yes",1,0)</f>
        <v>0</v>
      </c>
    </row>
    <row r="402" spans="1:11">
      <c r="A402">
        <v>531</v>
      </c>
      <c r="B402">
        <v>39</v>
      </c>
      <c r="C402" t="s">
        <v>15</v>
      </c>
      <c r="D402" t="s">
        <v>16</v>
      </c>
      <c r="E402" t="s">
        <v>22</v>
      </c>
      <c r="F402">
        <v>19197</v>
      </c>
      <c r="G402">
        <v>3</v>
      </c>
      <c r="H402" t="s">
        <v>14</v>
      </c>
      <c r="I402">
        <v>21</v>
      </c>
      <c r="J402" t="s">
        <v>18</v>
      </c>
      <c r="K402">
        <f>IF($J402="Yes",1,0)</f>
        <v>0</v>
      </c>
    </row>
    <row r="403" spans="1:11">
      <c r="A403">
        <v>532</v>
      </c>
      <c r="B403">
        <v>56</v>
      </c>
      <c r="C403" t="s">
        <v>11</v>
      </c>
      <c r="D403" t="s">
        <v>12</v>
      </c>
      <c r="E403" t="s">
        <v>13</v>
      </c>
      <c r="F403">
        <v>13212</v>
      </c>
      <c r="G403">
        <v>1</v>
      </c>
      <c r="H403" t="s">
        <v>18</v>
      </c>
      <c r="I403">
        <v>7</v>
      </c>
      <c r="J403" t="s">
        <v>18</v>
      </c>
      <c r="K403">
        <f>IF($J403="Yes",1,0)</f>
        <v>0</v>
      </c>
    </row>
    <row r="404" spans="1:11">
      <c r="A404">
        <v>533</v>
      </c>
      <c r="B404">
        <v>30</v>
      </c>
      <c r="C404" t="s">
        <v>11</v>
      </c>
      <c r="D404" t="s">
        <v>12</v>
      </c>
      <c r="E404" t="s">
        <v>13</v>
      </c>
      <c r="F404">
        <v>6577</v>
      </c>
      <c r="G404">
        <v>3</v>
      </c>
      <c r="H404" t="s">
        <v>18</v>
      </c>
      <c r="I404">
        <v>5</v>
      </c>
      <c r="J404" t="s">
        <v>18</v>
      </c>
      <c r="K404">
        <f>IF($J404="Yes",1,0)</f>
        <v>0</v>
      </c>
    </row>
    <row r="405" spans="1:11">
      <c r="A405">
        <v>534</v>
      </c>
      <c r="B405">
        <v>41</v>
      </c>
      <c r="C405" t="s">
        <v>15</v>
      </c>
      <c r="D405" t="s">
        <v>12</v>
      </c>
      <c r="E405" t="s">
        <v>13</v>
      </c>
      <c r="F405">
        <v>8392</v>
      </c>
      <c r="G405">
        <v>1</v>
      </c>
      <c r="H405" t="s">
        <v>18</v>
      </c>
      <c r="I405">
        <v>10</v>
      </c>
      <c r="J405" t="s">
        <v>18</v>
      </c>
      <c r="K405">
        <f>IF($J405="Yes",1,0)</f>
        <v>0</v>
      </c>
    </row>
    <row r="406" spans="1:11">
      <c r="A406">
        <v>536</v>
      </c>
      <c r="B406">
        <v>28</v>
      </c>
      <c r="C406" t="s">
        <v>15</v>
      </c>
      <c r="D406" t="s">
        <v>16</v>
      </c>
      <c r="E406" t="s">
        <v>19</v>
      </c>
      <c r="F406">
        <v>4558</v>
      </c>
      <c r="G406">
        <v>1</v>
      </c>
      <c r="H406" t="s">
        <v>18</v>
      </c>
      <c r="I406">
        <v>10</v>
      </c>
      <c r="J406" t="s">
        <v>18</v>
      </c>
      <c r="K406">
        <f>IF($J406="Yes",1,0)</f>
        <v>0</v>
      </c>
    </row>
    <row r="407" spans="1:11">
      <c r="A407">
        <v>538</v>
      </c>
      <c r="B407">
        <v>25</v>
      </c>
      <c r="C407" t="s">
        <v>15</v>
      </c>
      <c r="D407" t="s">
        <v>16</v>
      </c>
      <c r="E407" t="s">
        <v>19</v>
      </c>
      <c r="F407">
        <v>4031</v>
      </c>
      <c r="G407">
        <v>1</v>
      </c>
      <c r="H407" t="s">
        <v>18</v>
      </c>
      <c r="I407">
        <v>2</v>
      </c>
      <c r="J407" t="s">
        <v>14</v>
      </c>
      <c r="K407">
        <f>IF($J407="Yes",1,0)</f>
        <v>1</v>
      </c>
    </row>
    <row r="408" spans="1:11">
      <c r="A408">
        <v>543</v>
      </c>
      <c r="B408">
        <v>52</v>
      </c>
      <c r="C408" t="s">
        <v>15</v>
      </c>
      <c r="D408" t="s">
        <v>16</v>
      </c>
      <c r="E408" t="s">
        <v>20</v>
      </c>
      <c r="F408">
        <v>7969</v>
      </c>
      <c r="G408">
        <v>3</v>
      </c>
      <c r="H408" t="s">
        <v>14</v>
      </c>
      <c r="I408">
        <v>5</v>
      </c>
      <c r="J408" t="s">
        <v>18</v>
      </c>
      <c r="K408">
        <f>IF($J408="Yes",1,0)</f>
        <v>0</v>
      </c>
    </row>
    <row r="409" spans="1:11">
      <c r="A409">
        <v>544</v>
      </c>
      <c r="B409">
        <v>45</v>
      </c>
      <c r="C409" t="s">
        <v>15</v>
      </c>
      <c r="D409" t="s">
        <v>16</v>
      </c>
      <c r="E409" t="s">
        <v>17</v>
      </c>
      <c r="F409">
        <v>2654</v>
      </c>
      <c r="G409">
        <v>4</v>
      </c>
      <c r="H409" t="s">
        <v>18</v>
      </c>
      <c r="I409">
        <v>2</v>
      </c>
      <c r="J409" t="s">
        <v>18</v>
      </c>
      <c r="K409">
        <f>IF($J409="Yes",1,0)</f>
        <v>0</v>
      </c>
    </row>
    <row r="410" spans="1:11">
      <c r="A410">
        <v>546</v>
      </c>
      <c r="B410">
        <v>52</v>
      </c>
      <c r="C410" t="s">
        <v>11</v>
      </c>
      <c r="D410" t="s">
        <v>16</v>
      </c>
      <c r="E410" t="s">
        <v>22</v>
      </c>
      <c r="F410">
        <v>16555</v>
      </c>
      <c r="G410">
        <v>4</v>
      </c>
      <c r="H410" t="s">
        <v>18</v>
      </c>
      <c r="I410">
        <v>5</v>
      </c>
      <c r="J410" t="s">
        <v>18</v>
      </c>
      <c r="K410">
        <f>IF($J410="Yes",1,0)</f>
        <v>0</v>
      </c>
    </row>
    <row r="411" spans="1:11">
      <c r="A411">
        <v>547</v>
      </c>
      <c r="B411">
        <v>42</v>
      </c>
      <c r="C411" t="s">
        <v>11</v>
      </c>
      <c r="D411" t="s">
        <v>16</v>
      </c>
      <c r="E411" t="s">
        <v>17</v>
      </c>
      <c r="F411">
        <v>4556</v>
      </c>
      <c r="G411">
        <v>3</v>
      </c>
      <c r="H411" t="s">
        <v>18</v>
      </c>
      <c r="I411">
        <v>5</v>
      </c>
      <c r="J411" t="s">
        <v>18</v>
      </c>
      <c r="K411">
        <f>IF($J411="Yes",1,0)</f>
        <v>0</v>
      </c>
    </row>
    <row r="412" spans="1:11">
      <c r="A412">
        <v>548</v>
      </c>
      <c r="B412">
        <v>30</v>
      </c>
      <c r="C412" t="s">
        <v>11</v>
      </c>
      <c r="D412" t="s">
        <v>16</v>
      </c>
      <c r="E412" t="s">
        <v>20</v>
      </c>
      <c r="F412">
        <v>6091</v>
      </c>
      <c r="G412">
        <v>4</v>
      </c>
      <c r="H412" t="s">
        <v>18</v>
      </c>
      <c r="I412">
        <v>5</v>
      </c>
      <c r="J412" t="s">
        <v>18</v>
      </c>
      <c r="K412">
        <f>IF($J412="Yes",1,0)</f>
        <v>0</v>
      </c>
    </row>
    <row r="413" spans="1:11">
      <c r="A413">
        <v>549</v>
      </c>
      <c r="B413">
        <v>60</v>
      </c>
      <c r="C413" t="s">
        <v>11</v>
      </c>
      <c r="D413" t="s">
        <v>16</v>
      </c>
      <c r="E413" t="s">
        <v>22</v>
      </c>
      <c r="F413">
        <v>19566</v>
      </c>
      <c r="G413">
        <v>1</v>
      </c>
      <c r="H413" t="s">
        <v>18</v>
      </c>
      <c r="I413">
        <v>29</v>
      </c>
      <c r="J413" t="s">
        <v>18</v>
      </c>
      <c r="K413">
        <f>IF($J413="Yes",1,0)</f>
        <v>0</v>
      </c>
    </row>
    <row r="414" spans="1:11">
      <c r="A414">
        <v>550</v>
      </c>
      <c r="B414">
        <v>46</v>
      </c>
      <c r="C414" t="s">
        <v>11</v>
      </c>
      <c r="D414" t="s">
        <v>16</v>
      </c>
      <c r="E414" t="s">
        <v>20</v>
      </c>
      <c r="F414">
        <v>4810</v>
      </c>
      <c r="G414">
        <v>3</v>
      </c>
      <c r="H414" t="s">
        <v>18</v>
      </c>
      <c r="I414">
        <v>10</v>
      </c>
      <c r="J414" t="s">
        <v>18</v>
      </c>
      <c r="K414">
        <f>IF($J414="Yes",1,0)</f>
        <v>0</v>
      </c>
    </row>
    <row r="415" spans="1:11">
      <c r="A415">
        <v>551</v>
      </c>
      <c r="B415">
        <v>42</v>
      </c>
      <c r="C415" t="s">
        <v>11</v>
      </c>
      <c r="D415" t="s">
        <v>16</v>
      </c>
      <c r="E415" t="s">
        <v>21</v>
      </c>
      <c r="F415">
        <v>4523</v>
      </c>
      <c r="G415">
        <v>4</v>
      </c>
      <c r="H415" t="s">
        <v>18</v>
      </c>
      <c r="I415">
        <v>6</v>
      </c>
      <c r="J415" t="s">
        <v>18</v>
      </c>
      <c r="K415">
        <f>IF($J415="Yes",1,0)</f>
        <v>0</v>
      </c>
    </row>
    <row r="416" spans="1:11">
      <c r="A416">
        <v>554</v>
      </c>
      <c r="B416">
        <v>24</v>
      </c>
      <c r="C416" t="s">
        <v>11</v>
      </c>
      <c r="D416" t="s">
        <v>12</v>
      </c>
      <c r="E416" t="s">
        <v>23</v>
      </c>
      <c r="F416">
        <v>3202</v>
      </c>
      <c r="G416">
        <v>2</v>
      </c>
      <c r="H416" t="s">
        <v>14</v>
      </c>
      <c r="I416">
        <v>5</v>
      </c>
      <c r="J416" t="s">
        <v>14</v>
      </c>
      <c r="K416">
        <f>IF($J416="Yes",1,0)</f>
        <v>1</v>
      </c>
    </row>
    <row r="417" spans="1:11">
      <c r="A417">
        <v>555</v>
      </c>
      <c r="B417">
        <v>34</v>
      </c>
      <c r="C417" t="s">
        <v>11</v>
      </c>
      <c r="D417" t="s">
        <v>12</v>
      </c>
      <c r="E417" t="s">
        <v>23</v>
      </c>
      <c r="F417">
        <v>2351</v>
      </c>
      <c r="G417">
        <v>3</v>
      </c>
      <c r="H417" t="s">
        <v>18</v>
      </c>
      <c r="I417">
        <v>2</v>
      </c>
      <c r="J417" t="s">
        <v>14</v>
      </c>
      <c r="K417">
        <f>IF($J417="Yes",1,0)</f>
        <v>1</v>
      </c>
    </row>
    <row r="418" spans="1:11">
      <c r="A418">
        <v>556</v>
      </c>
      <c r="B418">
        <v>38</v>
      </c>
      <c r="C418" t="s">
        <v>15</v>
      </c>
      <c r="D418" t="s">
        <v>16</v>
      </c>
      <c r="E418" t="s">
        <v>19</v>
      </c>
      <c r="F418">
        <v>1702</v>
      </c>
      <c r="G418">
        <v>4</v>
      </c>
      <c r="H418" t="s">
        <v>14</v>
      </c>
      <c r="I418">
        <v>1</v>
      </c>
      <c r="J418" t="s">
        <v>18</v>
      </c>
      <c r="K418">
        <f>IF($J418="Yes",1,0)</f>
        <v>0</v>
      </c>
    </row>
    <row r="419" spans="1:11">
      <c r="A419">
        <v>558</v>
      </c>
      <c r="B419">
        <v>40</v>
      </c>
      <c r="C419" t="s">
        <v>11</v>
      </c>
      <c r="D419" t="s">
        <v>12</v>
      </c>
      <c r="E419" t="s">
        <v>22</v>
      </c>
      <c r="F419">
        <v>18041</v>
      </c>
      <c r="G419">
        <v>3</v>
      </c>
      <c r="H419" t="s">
        <v>18</v>
      </c>
      <c r="I419">
        <v>20</v>
      </c>
      <c r="J419" t="s">
        <v>18</v>
      </c>
      <c r="K419">
        <f>IF($J419="Yes",1,0)</f>
        <v>0</v>
      </c>
    </row>
    <row r="420" spans="1:11">
      <c r="A420">
        <v>560</v>
      </c>
      <c r="B420">
        <v>26</v>
      </c>
      <c r="C420" t="s">
        <v>11</v>
      </c>
      <c r="D420" t="s">
        <v>16</v>
      </c>
      <c r="E420" t="s">
        <v>17</v>
      </c>
      <c r="F420">
        <v>2886</v>
      </c>
      <c r="G420">
        <v>4</v>
      </c>
      <c r="H420" t="s">
        <v>18</v>
      </c>
      <c r="I420">
        <v>3</v>
      </c>
      <c r="J420" t="s">
        <v>18</v>
      </c>
      <c r="K420">
        <f>IF($J420="Yes",1,0)</f>
        <v>0</v>
      </c>
    </row>
    <row r="421" spans="1:11">
      <c r="A421">
        <v>562</v>
      </c>
      <c r="B421">
        <v>30</v>
      </c>
      <c r="C421" t="s">
        <v>15</v>
      </c>
      <c r="D421" t="s">
        <v>16</v>
      </c>
      <c r="E421" t="s">
        <v>19</v>
      </c>
      <c r="F421">
        <v>2097</v>
      </c>
      <c r="G421">
        <v>4</v>
      </c>
      <c r="H421" t="s">
        <v>18</v>
      </c>
      <c r="I421">
        <v>5</v>
      </c>
      <c r="J421" t="s">
        <v>18</v>
      </c>
      <c r="K421">
        <f>IF($J421="Yes",1,0)</f>
        <v>0</v>
      </c>
    </row>
    <row r="422" spans="1:11">
      <c r="A422">
        <v>564</v>
      </c>
      <c r="B422">
        <v>29</v>
      </c>
      <c r="C422" t="s">
        <v>15</v>
      </c>
      <c r="D422" t="s">
        <v>16</v>
      </c>
      <c r="E422" t="s">
        <v>24</v>
      </c>
      <c r="F422">
        <v>11935</v>
      </c>
      <c r="G422">
        <v>3</v>
      </c>
      <c r="H422" t="s">
        <v>18</v>
      </c>
      <c r="I422">
        <v>10</v>
      </c>
      <c r="J422" t="s">
        <v>18</v>
      </c>
      <c r="K422">
        <f>IF($J422="Yes",1,0)</f>
        <v>0</v>
      </c>
    </row>
    <row r="423" spans="1:11">
      <c r="A423">
        <v>565</v>
      </c>
      <c r="B423">
        <v>29</v>
      </c>
      <c r="C423" t="s">
        <v>11</v>
      </c>
      <c r="D423" t="s">
        <v>16</v>
      </c>
      <c r="E423" t="s">
        <v>17</v>
      </c>
      <c r="F423">
        <v>2546</v>
      </c>
      <c r="G423">
        <v>2</v>
      </c>
      <c r="H423" t="s">
        <v>18</v>
      </c>
      <c r="I423">
        <v>2</v>
      </c>
      <c r="J423" t="s">
        <v>14</v>
      </c>
      <c r="K423">
        <f>IF($J423="Yes",1,0)</f>
        <v>1</v>
      </c>
    </row>
    <row r="424" spans="1:11">
      <c r="A424">
        <v>566</v>
      </c>
      <c r="B424">
        <v>19</v>
      </c>
      <c r="C424" t="s">
        <v>15</v>
      </c>
      <c r="D424" t="s">
        <v>25</v>
      </c>
      <c r="E424" t="s">
        <v>25</v>
      </c>
      <c r="F424">
        <v>2564</v>
      </c>
      <c r="G424">
        <v>4</v>
      </c>
      <c r="H424" t="s">
        <v>18</v>
      </c>
      <c r="I424">
        <v>1</v>
      </c>
      <c r="J424" t="s">
        <v>14</v>
      </c>
      <c r="K424">
        <f>IF($J424="Yes",1,0)</f>
        <v>1</v>
      </c>
    </row>
    <row r="425" spans="1:11">
      <c r="A425">
        <v>567</v>
      </c>
      <c r="B425">
        <v>30</v>
      </c>
      <c r="C425" t="s">
        <v>11</v>
      </c>
      <c r="D425" t="s">
        <v>12</v>
      </c>
      <c r="E425" t="s">
        <v>13</v>
      </c>
      <c r="F425">
        <v>8412</v>
      </c>
      <c r="G425">
        <v>1</v>
      </c>
      <c r="H425" t="s">
        <v>18</v>
      </c>
      <c r="I425">
        <v>9</v>
      </c>
      <c r="J425" t="s">
        <v>18</v>
      </c>
      <c r="K425">
        <f>IF($J425="Yes",1,0)</f>
        <v>0</v>
      </c>
    </row>
    <row r="426" spans="1:11">
      <c r="A426">
        <v>568</v>
      </c>
      <c r="B426">
        <v>57</v>
      </c>
      <c r="C426" t="s">
        <v>15</v>
      </c>
      <c r="D426" t="s">
        <v>12</v>
      </c>
      <c r="E426" t="s">
        <v>22</v>
      </c>
      <c r="F426">
        <v>14118</v>
      </c>
      <c r="G426">
        <v>4</v>
      </c>
      <c r="H426" t="s">
        <v>18</v>
      </c>
      <c r="I426">
        <v>1</v>
      </c>
      <c r="J426" t="s">
        <v>18</v>
      </c>
      <c r="K426">
        <f>IF($J426="Yes",1,0)</f>
        <v>0</v>
      </c>
    </row>
    <row r="427" spans="1:11">
      <c r="A427">
        <v>569</v>
      </c>
      <c r="B427">
        <v>50</v>
      </c>
      <c r="C427" t="s">
        <v>15</v>
      </c>
      <c r="D427" t="s">
        <v>16</v>
      </c>
      <c r="E427" t="s">
        <v>22</v>
      </c>
      <c r="F427">
        <v>17046</v>
      </c>
      <c r="G427">
        <v>3</v>
      </c>
      <c r="H427" t="s">
        <v>18</v>
      </c>
      <c r="I427">
        <v>27</v>
      </c>
      <c r="J427" t="s">
        <v>18</v>
      </c>
      <c r="K427">
        <f>IF($J427="Yes",1,0)</f>
        <v>0</v>
      </c>
    </row>
    <row r="428" spans="1:11">
      <c r="A428">
        <v>571</v>
      </c>
      <c r="B428">
        <v>30</v>
      </c>
      <c r="C428" t="s">
        <v>11</v>
      </c>
      <c r="D428" t="s">
        <v>16</v>
      </c>
      <c r="E428" t="s">
        <v>19</v>
      </c>
      <c r="F428">
        <v>2564</v>
      </c>
      <c r="G428">
        <v>4</v>
      </c>
      <c r="H428" t="s">
        <v>18</v>
      </c>
      <c r="I428">
        <v>11</v>
      </c>
      <c r="J428" t="s">
        <v>18</v>
      </c>
      <c r="K428">
        <f>IF($J428="Yes",1,0)</f>
        <v>0</v>
      </c>
    </row>
    <row r="429" spans="1:11">
      <c r="A429">
        <v>573</v>
      </c>
      <c r="B429">
        <v>60</v>
      </c>
      <c r="C429" t="s">
        <v>11</v>
      </c>
      <c r="D429" t="s">
        <v>12</v>
      </c>
      <c r="E429" t="s">
        <v>13</v>
      </c>
      <c r="F429">
        <v>10266</v>
      </c>
      <c r="G429">
        <v>1</v>
      </c>
      <c r="H429" t="s">
        <v>18</v>
      </c>
      <c r="I429">
        <v>18</v>
      </c>
      <c r="J429" t="s">
        <v>18</v>
      </c>
      <c r="K429">
        <f>IF($J429="Yes",1,0)</f>
        <v>0</v>
      </c>
    </row>
    <row r="430" spans="1:11">
      <c r="A430">
        <v>574</v>
      </c>
      <c r="B430">
        <v>47</v>
      </c>
      <c r="C430" t="s">
        <v>11</v>
      </c>
      <c r="D430" t="s">
        <v>16</v>
      </c>
      <c r="E430" t="s">
        <v>20</v>
      </c>
      <c r="F430">
        <v>5070</v>
      </c>
      <c r="G430">
        <v>4</v>
      </c>
      <c r="H430" t="s">
        <v>18</v>
      </c>
      <c r="I430">
        <v>5</v>
      </c>
      <c r="J430" t="s">
        <v>18</v>
      </c>
      <c r="K430">
        <f>IF($J430="Yes",1,0)</f>
        <v>0</v>
      </c>
    </row>
    <row r="431" spans="1:11">
      <c r="A431">
        <v>575</v>
      </c>
      <c r="B431">
        <v>46</v>
      </c>
      <c r="C431" t="s">
        <v>15</v>
      </c>
      <c r="D431" t="s">
        <v>16</v>
      </c>
      <c r="E431" t="s">
        <v>24</v>
      </c>
      <c r="F431">
        <v>17861</v>
      </c>
      <c r="G431">
        <v>3</v>
      </c>
      <c r="H431" t="s">
        <v>18</v>
      </c>
      <c r="I431">
        <v>3</v>
      </c>
      <c r="J431" t="s">
        <v>18</v>
      </c>
      <c r="K431">
        <f>IF($J431="Yes",1,0)</f>
        <v>0</v>
      </c>
    </row>
    <row r="432" spans="1:11">
      <c r="A432">
        <v>577</v>
      </c>
      <c r="B432">
        <v>35</v>
      </c>
      <c r="C432" t="s">
        <v>15</v>
      </c>
      <c r="D432" t="s">
        <v>16</v>
      </c>
      <c r="E432" t="s">
        <v>19</v>
      </c>
      <c r="F432">
        <v>4230</v>
      </c>
      <c r="G432">
        <v>3</v>
      </c>
      <c r="H432" t="s">
        <v>18</v>
      </c>
      <c r="I432">
        <v>5</v>
      </c>
      <c r="J432" t="s">
        <v>18</v>
      </c>
      <c r="K432">
        <f>IF($J432="Yes",1,0)</f>
        <v>0</v>
      </c>
    </row>
    <row r="433" spans="1:11">
      <c r="A433">
        <v>578</v>
      </c>
      <c r="B433">
        <v>54</v>
      </c>
      <c r="C433" t="s">
        <v>11</v>
      </c>
      <c r="D433" t="s">
        <v>16</v>
      </c>
      <c r="E433" t="s">
        <v>19</v>
      </c>
      <c r="F433">
        <v>3780</v>
      </c>
      <c r="G433">
        <v>3</v>
      </c>
      <c r="H433" t="s">
        <v>18</v>
      </c>
      <c r="I433">
        <v>1</v>
      </c>
      <c r="J433" t="s">
        <v>18</v>
      </c>
      <c r="K433">
        <f>IF($J433="Yes",1,0)</f>
        <v>0</v>
      </c>
    </row>
    <row r="434" spans="1:11">
      <c r="A434">
        <v>579</v>
      </c>
      <c r="B434">
        <v>34</v>
      </c>
      <c r="C434" t="s">
        <v>15</v>
      </c>
      <c r="D434" t="s">
        <v>16</v>
      </c>
      <c r="E434" t="s">
        <v>17</v>
      </c>
      <c r="F434">
        <v>2768</v>
      </c>
      <c r="G434">
        <v>3</v>
      </c>
      <c r="H434" t="s">
        <v>18</v>
      </c>
      <c r="I434">
        <v>7</v>
      </c>
      <c r="J434" t="s">
        <v>18</v>
      </c>
      <c r="K434">
        <f>IF($J434="Yes",1,0)</f>
        <v>0</v>
      </c>
    </row>
    <row r="435" spans="1:11">
      <c r="A435">
        <v>580</v>
      </c>
      <c r="B435">
        <v>46</v>
      </c>
      <c r="C435" t="s">
        <v>11</v>
      </c>
      <c r="D435" t="s">
        <v>12</v>
      </c>
      <c r="E435" t="s">
        <v>13</v>
      </c>
      <c r="F435">
        <v>9071</v>
      </c>
      <c r="G435">
        <v>4</v>
      </c>
      <c r="H435" t="s">
        <v>14</v>
      </c>
      <c r="I435">
        <v>3</v>
      </c>
      <c r="J435" t="s">
        <v>18</v>
      </c>
      <c r="K435">
        <f>IF($J435="Yes",1,0)</f>
        <v>0</v>
      </c>
    </row>
    <row r="436" spans="1:11">
      <c r="A436">
        <v>581</v>
      </c>
      <c r="B436">
        <v>31</v>
      </c>
      <c r="C436" t="s">
        <v>15</v>
      </c>
      <c r="D436" t="s">
        <v>16</v>
      </c>
      <c r="E436" t="s">
        <v>20</v>
      </c>
      <c r="F436">
        <v>10648</v>
      </c>
      <c r="G436">
        <v>2</v>
      </c>
      <c r="H436" t="s">
        <v>18</v>
      </c>
      <c r="I436">
        <v>13</v>
      </c>
      <c r="J436" t="s">
        <v>18</v>
      </c>
      <c r="K436">
        <f>IF($J436="Yes",1,0)</f>
        <v>0</v>
      </c>
    </row>
    <row r="437" spans="1:11">
      <c r="A437">
        <v>582</v>
      </c>
      <c r="B437">
        <v>33</v>
      </c>
      <c r="C437" t="s">
        <v>15</v>
      </c>
      <c r="D437" t="s">
        <v>16</v>
      </c>
      <c r="E437" t="s">
        <v>22</v>
      </c>
      <c r="F437">
        <v>13610</v>
      </c>
      <c r="G437">
        <v>3</v>
      </c>
      <c r="H437" t="s">
        <v>14</v>
      </c>
      <c r="I437">
        <v>7</v>
      </c>
      <c r="J437" t="s">
        <v>14</v>
      </c>
      <c r="K437">
        <f>IF($J437="Yes",1,0)</f>
        <v>1</v>
      </c>
    </row>
    <row r="438" spans="1:11">
      <c r="A438">
        <v>584</v>
      </c>
      <c r="B438">
        <v>33</v>
      </c>
      <c r="C438" t="s">
        <v>15</v>
      </c>
      <c r="D438" t="s">
        <v>16</v>
      </c>
      <c r="E438" t="s">
        <v>19</v>
      </c>
      <c r="F438">
        <v>3408</v>
      </c>
      <c r="G438">
        <v>4</v>
      </c>
      <c r="H438" t="s">
        <v>18</v>
      </c>
      <c r="I438">
        <v>4</v>
      </c>
      <c r="J438" t="s">
        <v>14</v>
      </c>
      <c r="K438">
        <f>IF($J438="Yes",1,0)</f>
        <v>1</v>
      </c>
    </row>
    <row r="439" spans="1:11">
      <c r="A439">
        <v>585</v>
      </c>
      <c r="B439">
        <v>30</v>
      </c>
      <c r="C439" t="s">
        <v>15</v>
      </c>
      <c r="D439" t="s">
        <v>12</v>
      </c>
      <c r="E439" t="s">
        <v>23</v>
      </c>
      <c r="F439">
        <v>2983</v>
      </c>
      <c r="G439">
        <v>2</v>
      </c>
      <c r="H439" t="s">
        <v>18</v>
      </c>
      <c r="I439">
        <v>3</v>
      </c>
      <c r="J439" t="s">
        <v>18</v>
      </c>
      <c r="K439">
        <f>IF($J439="Yes",1,0)</f>
        <v>0</v>
      </c>
    </row>
    <row r="440" spans="1:11">
      <c r="A440">
        <v>586</v>
      </c>
      <c r="B440">
        <v>35</v>
      </c>
      <c r="C440" t="s">
        <v>15</v>
      </c>
      <c r="D440" t="s">
        <v>16</v>
      </c>
      <c r="E440" t="s">
        <v>21</v>
      </c>
      <c r="F440">
        <v>7632</v>
      </c>
      <c r="G440">
        <v>3</v>
      </c>
      <c r="H440" t="s">
        <v>14</v>
      </c>
      <c r="I440">
        <v>8</v>
      </c>
      <c r="J440" t="s">
        <v>18</v>
      </c>
      <c r="K440">
        <f>IF($J440="Yes",1,0)</f>
        <v>0</v>
      </c>
    </row>
    <row r="441" spans="1:11">
      <c r="A441">
        <v>587</v>
      </c>
      <c r="B441">
        <v>31</v>
      </c>
      <c r="C441" t="s">
        <v>15</v>
      </c>
      <c r="D441" t="s">
        <v>16</v>
      </c>
      <c r="E441" t="s">
        <v>21</v>
      </c>
      <c r="F441">
        <v>9824</v>
      </c>
      <c r="G441">
        <v>3</v>
      </c>
      <c r="H441" t="s">
        <v>18</v>
      </c>
      <c r="I441">
        <v>1</v>
      </c>
      <c r="J441" t="s">
        <v>14</v>
      </c>
      <c r="K441">
        <f>IF($J441="Yes",1,0)</f>
        <v>1</v>
      </c>
    </row>
    <row r="442" spans="1:11">
      <c r="A442">
        <v>590</v>
      </c>
      <c r="B442">
        <v>34</v>
      </c>
      <c r="C442" t="s">
        <v>11</v>
      </c>
      <c r="D442" t="s">
        <v>25</v>
      </c>
      <c r="E442" t="s">
        <v>25</v>
      </c>
      <c r="F442">
        <v>9950</v>
      </c>
      <c r="G442">
        <v>1</v>
      </c>
      <c r="H442" t="s">
        <v>14</v>
      </c>
      <c r="I442">
        <v>3</v>
      </c>
      <c r="J442" t="s">
        <v>14</v>
      </c>
      <c r="K442">
        <f>IF($J442="Yes",1,0)</f>
        <v>1</v>
      </c>
    </row>
    <row r="443" spans="1:11">
      <c r="A443">
        <v>591</v>
      </c>
      <c r="B443">
        <v>42</v>
      </c>
      <c r="C443" t="s">
        <v>15</v>
      </c>
      <c r="D443" t="s">
        <v>16</v>
      </c>
      <c r="E443" t="s">
        <v>19</v>
      </c>
      <c r="F443">
        <v>2093</v>
      </c>
      <c r="G443">
        <v>3</v>
      </c>
      <c r="H443" t="s">
        <v>18</v>
      </c>
      <c r="I443">
        <v>2</v>
      </c>
      <c r="J443" t="s">
        <v>18</v>
      </c>
      <c r="K443">
        <f>IF($J443="Yes",1,0)</f>
        <v>0</v>
      </c>
    </row>
    <row r="444" spans="1:11">
      <c r="A444">
        <v>592</v>
      </c>
      <c r="B444">
        <v>36</v>
      </c>
      <c r="C444" t="s">
        <v>15</v>
      </c>
      <c r="D444" t="s">
        <v>12</v>
      </c>
      <c r="E444" t="s">
        <v>13</v>
      </c>
      <c r="F444">
        <v>9980</v>
      </c>
      <c r="G444">
        <v>4</v>
      </c>
      <c r="H444" t="s">
        <v>18</v>
      </c>
      <c r="I444">
        <v>10</v>
      </c>
      <c r="J444" t="s">
        <v>18</v>
      </c>
      <c r="K444">
        <f>IF($J444="Yes",1,0)</f>
        <v>0</v>
      </c>
    </row>
    <row r="445" spans="1:11">
      <c r="A445">
        <v>593</v>
      </c>
      <c r="B445">
        <v>22</v>
      </c>
      <c r="C445" t="s">
        <v>15</v>
      </c>
      <c r="D445" t="s">
        <v>16</v>
      </c>
      <c r="E445" t="s">
        <v>19</v>
      </c>
      <c r="F445">
        <v>3894</v>
      </c>
      <c r="G445">
        <v>3</v>
      </c>
      <c r="H445" t="s">
        <v>18</v>
      </c>
      <c r="I445">
        <v>2</v>
      </c>
      <c r="J445" t="s">
        <v>14</v>
      </c>
      <c r="K445">
        <f>IF($J445="Yes",1,0)</f>
        <v>1</v>
      </c>
    </row>
    <row r="446" spans="1:11">
      <c r="A446">
        <v>595</v>
      </c>
      <c r="B446">
        <v>48</v>
      </c>
      <c r="C446" t="s">
        <v>11</v>
      </c>
      <c r="D446" t="s">
        <v>12</v>
      </c>
      <c r="E446" t="s">
        <v>13</v>
      </c>
      <c r="F446">
        <v>4051</v>
      </c>
      <c r="G446">
        <v>4</v>
      </c>
      <c r="H446" t="s">
        <v>18</v>
      </c>
      <c r="I446">
        <v>9</v>
      </c>
      <c r="J446" t="s">
        <v>18</v>
      </c>
      <c r="K446">
        <f>IF($J446="Yes",1,0)</f>
        <v>0</v>
      </c>
    </row>
    <row r="447" spans="1:11">
      <c r="A447">
        <v>597</v>
      </c>
      <c r="B447">
        <v>55</v>
      </c>
      <c r="C447" t="s">
        <v>11</v>
      </c>
      <c r="D447" t="s">
        <v>12</v>
      </c>
      <c r="E447" t="s">
        <v>22</v>
      </c>
      <c r="F447">
        <v>16835</v>
      </c>
      <c r="G447">
        <v>2</v>
      </c>
      <c r="H447" t="s">
        <v>18</v>
      </c>
      <c r="I447">
        <v>10</v>
      </c>
      <c r="J447" t="s">
        <v>18</v>
      </c>
      <c r="K447">
        <f>IF($J447="Yes",1,0)</f>
        <v>0</v>
      </c>
    </row>
    <row r="448" spans="1:11">
      <c r="A448">
        <v>599</v>
      </c>
      <c r="B448">
        <v>41</v>
      </c>
      <c r="C448" t="s">
        <v>15</v>
      </c>
      <c r="D448" t="s">
        <v>12</v>
      </c>
      <c r="E448" t="s">
        <v>13</v>
      </c>
      <c r="F448">
        <v>6230</v>
      </c>
      <c r="G448">
        <v>4</v>
      </c>
      <c r="H448" t="s">
        <v>18</v>
      </c>
      <c r="I448">
        <v>14</v>
      </c>
      <c r="J448" t="s">
        <v>18</v>
      </c>
      <c r="K448">
        <f>IF($J448="Yes",1,0)</f>
        <v>0</v>
      </c>
    </row>
    <row r="449" spans="1:11">
      <c r="A449">
        <v>600</v>
      </c>
      <c r="B449">
        <v>35</v>
      </c>
      <c r="C449" t="s">
        <v>15</v>
      </c>
      <c r="D449" t="s">
        <v>12</v>
      </c>
      <c r="E449" t="s">
        <v>13</v>
      </c>
      <c r="F449">
        <v>4717</v>
      </c>
      <c r="G449">
        <v>3</v>
      </c>
      <c r="H449" t="s">
        <v>18</v>
      </c>
      <c r="I449">
        <v>11</v>
      </c>
      <c r="J449" t="s">
        <v>18</v>
      </c>
      <c r="K449">
        <f>IF($J449="Yes",1,0)</f>
        <v>0</v>
      </c>
    </row>
    <row r="450" spans="1:11">
      <c r="A450">
        <v>601</v>
      </c>
      <c r="B450">
        <v>40</v>
      </c>
      <c r="C450" t="s">
        <v>11</v>
      </c>
      <c r="D450" t="s">
        <v>16</v>
      </c>
      <c r="E450" t="s">
        <v>20</v>
      </c>
      <c r="F450">
        <v>13237</v>
      </c>
      <c r="G450">
        <v>3</v>
      </c>
      <c r="H450" t="s">
        <v>18</v>
      </c>
      <c r="I450">
        <v>20</v>
      </c>
      <c r="J450" t="s">
        <v>18</v>
      </c>
      <c r="K450">
        <f>IF($J450="Yes",1,0)</f>
        <v>0</v>
      </c>
    </row>
    <row r="451" spans="1:11">
      <c r="A451">
        <v>602</v>
      </c>
      <c r="B451">
        <v>39</v>
      </c>
      <c r="C451" t="s">
        <v>11</v>
      </c>
      <c r="D451" t="s">
        <v>16</v>
      </c>
      <c r="E451" t="s">
        <v>19</v>
      </c>
      <c r="F451">
        <v>3755</v>
      </c>
      <c r="G451">
        <v>3</v>
      </c>
      <c r="H451" t="s">
        <v>18</v>
      </c>
      <c r="I451">
        <v>8</v>
      </c>
      <c r="J451" t="s">
        <v>18</v>
      </c>
      <c r="K451">
        <f>IF($J451="Yes",1,0)</f>
        <v>0</v>
      </c>
    </row>
    <row r="452" spans="1:11">
      <c r="A452">
        <v>604</v>
      </c>
      <c r="B452">
        <v>31</v>
      </c>
      <c r="C452" t="s">
        <v>15</v>
      </c>
      <c r="D452" t="s">
        <v>12</v>
      </c>
      <c r="E452" t="s">
        <v>13</v>
      </c>
      <c r="F452">
        <v>6582</v>
      </c>
      <c r="G452">
        <v>4</v>
      </c>
      <c r="H452" t="s">
        <v>14</v>
      </c>
      <c r="I452">
        <v>6</v>
      </c>
      <c r="J452" t="s">
        <v>18</v>
      </c>
      <c r="K452">
        <f>IF($J452="Yes",1,0)</f>
        <v>0</v>
      </c>
    </row>
    <row r="453" spans="1:11">
      <c r="A453">
        <v>605</v>
      </c>
      <c r="B453">
        <v>42</v>
      </c>
      <c r="C453" t="s">
        <v>15</v>
      </c>
      <c r="D453" t="s">
        <v>16</v>
      </c>
      <c r="E453" t="s">
        <v>20</v>
      </c>
      <c r="F453">
        <v>7406</v>
      </c>
      <c r="G453">
        <v>1</v>
      </c>
      <c r="H453" t="s">
        <v>14</v>
      </c>
      <c r="I453">
        <v>10</v>
      </c>
      <c r="J453" t="s">
        <v>18</v>
      </c>
      <c r="K453">
        <f>IF($J453="Yes",1,0)</f>
        <v>0</v>
      </c>
    </row>
    <row r="454" spans="1:11">
      <c r="A454">
        <v>606</v>
      </c>
      <c r="B454">
        <v>45</v>
      </c>
      <c r="C454" t="s">
        <v>15</v>
      </c>
      <c r="D454" t="s">
        <v>12</v>
      </c>
      <c r="E454" t="s">
        <v>13</v>
      </c>
      <c r="F454">
        <v>4805</v>
      </c>
      <c r="G454">
        <v>2</v>
      </c>
      <c r="H454" t="s">
        <v>18</v>
      </c>
      <c r="I454">
        <v>8</v>
      </c>
      <c r="J454" t="s">
        <v>18</v>
      </c>
      <c r="K454">
        <f>IF($J454="Yes",1,0)</f>
        <v>0</v>
      </c>
    </row>
    <row r="455" spans="1:11">
      <c r="A455">
        <v>608</v>
      </c>
      <c r="B455">
        <v>26</v>
      </c>
      <c r="C455" t="s">
        <v>11</v>
      </c>
      <c r="D455" t="s">
        <v>25</v>
      </c>
      <c r="E455" t="s">
        <v>25</v>
      </c>
      <c r="F455">
        <v>2741</v>
      </c>
      <c r="G455">
        <v>3</v>
      </c>
      <c r="H455" t="s">
        <v>14</v>
      </c>
      <c r="I455">
        <v>7</v>
      </c>
      <c r="J455" t="s">
        <v>14</v>
      </c>
      <c r="K455">
        <f>IF($J455="Yes",1,0)</f>
        <v>1</v>
      </c>
    </row>
    <row r="456" spans="1:11">
      <c r="A456">
        <v>611</v>
      </c>
      <c r="B456">
        <v>29</v>
      </c>
      <c r="C456" t="s">
        <v>15</v>
      </c>
      <c r="D456" t="s">
        <v>16</v>
      </c>
      <c r="E456" t="s">
        <v>20</v>
      </c>
      <c r="F456">
        <v>4262</v>
      </c>
      <c r="G456">
        <v>4</v>
      </c>
      <c r="H456" t="s">
        <v>18</v>
      </c>
      <c r="I456">
        <v>3</v>
      </c>
      <c r="J456" t="s">
        <v>18</v>
      </c>
      <c r="K456">
        <f>IF($J456="Yes",1,0)</f>
        <v>0</v>
      </c>
    </row>
    <row r="457" spans="1:11">
      <c r="A457">
        <v>612</v>
      </c>
      <c r="B457">
        <v>33</v>
      </c>
      <c r="C457" t="s">
        <v>11</v>
      </c>
      <c r="D457" t="s">
        <v>16</v>
      </c>
      <c r="E457" t="s">
        <v>24</v>
      </c>
      <c r="F457">
        <v>16184</v>
      </c>
      <c r="G457">
        <v>3</v>
      </c>
      <c r="H457" t="s">
        <v>18</v>
      </c>
      <c r="I457">
        <v>6</v>
      </c>
      <c r="J457" t="s">
        <v>18</v>
      </c>
      <c r="K457">
        <f>IF($J457="Yes",1,0)</f>
        <v>0</v>
      </c>
    </row>
    <row r="458" spans="1:11">
      <c r="A458">
        <v>613</v>
      </c>
      <c r="B458">
        <v>31</v>
      </c>
      <c r="C458" t="s">
        <v>15</v>
      </c>
      <c r="D458" t="s">
        <v>12</v>
      </c>
      <c r="E458" t="s">
        <v>22</v>
      </c>
      <c r="F458">
        <v>11557</v>
      </c>
      <c r="G458">
        <v>4</v>
      </c>
      <c r="H458" t="s">
        <v>18</v>
      </c>
      <c r="I458">
        <v>5</v>
      </c>
      <c r="J458" t="s">
        <v>18</v>
      </c>
      <c r="K458">
        <f>IF($J458="Yes",1,0)</f>
        <v>0</v>
      </c>
    </row>
    <row r="459" spans="1:11">
      <c r="A459">
        <v>614</v>
      </c>
      <c r="B459">
        <v>18</v>
      </c>
      <c r="C459" t="s">
        <v>15</v>
      </c>
      <c r="D459" t="s">
        <v>12</v>
      </c>
      <c r="E459" t="s">
        <v>23</v>
      </c>
      <c r="F459">
        <v>1878</v>
      </c>
      <c r="G459">
        <v>2</v>
      </c>
      <c r="H459" t="s">
        <v>14</v>
      </c>
      <c r="I459">
        <v>0</v>
      </c>
      <c r="J459" t="s">
        <v>14</v>
      </c>
      <c r="K459">
        <f>IF($J459="Yes",1,0)</f>
        <v>1</v>
      </c>
    </row>
    <row r="460" spans="1:11">
      <c r="A460">
        <v>615</v>
      </c>
      <c r="B460">
        <v>40</v>
      </c>
      <c r="C460" t="s">
        <v>15</v>
      </c>
      <c r="D460" t="s">
        <v>12</v>
      </c>
      <c r="E460" t="s">
        <v>13</v>
      </c>
      <c r="F460">
        <v>10932</v>
      </c>
      <c r="G460">
        <v>1</v>
      </c>
      <c r="H460" t="s">
        <v>18</v>
      </c>
      <c r="I460">
        <v>1</v>
      </c>
      <c r="J460" t="s">
        <v>18</v>
      </c>
      <c r="K460">
        <f>IF($J460="Yes",1,0)</f>
        <v>0</v>
      </c>
    </row>
    <row r="461" spans="1:11">
      <c r="A461">
        <v>616</v>
      </c>
      <c r="B461">
        <v>41</v>
      </c>
      <c r="C461" t="s">
        <v>11</v>
      </c>
      <c r="D461" t="s">
        <v>16</v>
      </c>
      <c r="E461" t="s">
        <v>21</v>
      </c>
      <c r="F461">
        <v>6811</v>
      </c>
      <c r="G461">
        <v>3</v>
      </c>
      <c r="H461" t="s">
        <v>14</v>
      </c>
      <c r="I461">
        <v>8</v>
      </c>
      <c r="J461" t="s">
        <v>18</v>
      </c>
      <c r="K461">
        <f>IF($J461="Yes",1,0)</f>
        <v>0</v>
      </c>
    </row>
    <row r="462" spans="1:11">
      <c r="A462">
        <v>618</v>
      </c>
      <c r="B462">
        <v>26</v>
      </c>
      <c r="C462" t="s">
        <v>15</v>
      </c>
      <c r="D462" t="s">
        <v>12</v>
      </c>
      <c r="E462" t="s">
        <v>13</v>
      </c>
      <c r="F462">
        <v>4306</v>
      </c>
      <c r="G462">
        <v>3</v>
      </c>
      <c r="H462" t="s">
        <v>18</v>
      </c>
      <c r="I462">
        <v>0</v>
      </c>
      <c r="J462" t="s">
        <v>18</v>
      </c>
      <c r="K462">
        <f>IF($J462="Yes",1,0)</f>
        <v>0</v>
      </c>
    </row>
    <row r="463" spans="1:11">
      <c r="A463">
        <v>620</v>
      </c>
      <c r="B463">
        <v>35</v>
      </c>
      <c r="C463" t="s">
        <v>11</v>
      </c>
      <c r="D463" t="s">
        <v>12</v>
      </c>
      <c r="E463" t="s">
        <v>13</v>
      </c>
      <c r="F463">
        <v>4859</v>
      </c>
      <c r="G463">
        <v>3</v>
      </c>
      <c r="H463" t="s">
        <v>18</v>
      </c>
      <c r="I463">
        <v>5</v>
      </c>
      <c r="J463" t="s">
        <v>18</v>
      </c>
      <c r="K463">
        <f>IF($J463="Yes",1,0)</f>
        <v>0</v>
      </c>
    </row>
    <row r="464" spans="1:11">
      <c r="A464">
        <v>621</v>
      </c>
      <c r="B464">
        <v>34</v>
      </c>
      <c r="C464" t="s">
        <v>15</v>
      </c>
      <c r="D464" t="s">
        <v>12</v>
      </c>
      <c r="E464" t="s">
        <v>13</v>
      </c>
      <c r="F464">
        <v>5337</v>
      </c>
      <c r="G464">
        <v>4</v>
      </c>
      <c r="H464" t="s">
        <v>18</v>
      </c>
      <c r="I464">
        <v>10</v>
      </c>
      <c r="J464" t="s">
        <v>18</v>
      </c>
      <c r="K464">
        <f>IF($J464="Yes",1,0)</f>
        <v>0</v>
      </c>
    </row>
    <row r="465" spans="1:11">
      <c r="A465">
        <v>622</v>
      </c>
      <c r="B465">
        <v>26</v>
      </c>
      <c r="C465" t="s">
        <v>15</v>
      </c>
      <c r="D465" t="s">
        <v>16</v>
      </c>
      <c r="E465" t="s">
        <v>19</v>
      </c>
      <c r="F465">
        <v>2340</v>
      </c>
      <c r="G465">
        <v>4</v>
      </c>
      <c r="H465" t="s">
        <v>14</v>
      </c>
      <c r="I465">
        <v>1</v>
      </c>
      <c r="J465" t="s">
        <v>14</v>
      </c>
      <c r="K465">
        <f>IF($J465="Yes",1,0)</f>
        <v>1</v>
      </c>
    </row>
    <row r="466" spans="1:11">
      <c r="A466">
        <v>623</v>
      </c>
      <c r="B466">
        <v>37</v>
      </c>
      <c r="C466" t="s">
        <v>11</v>
      </c>
      <c r="D466" t="s">
        <v>16</v>
      </c>
      <c r="E466" t="s">
        <v>20</v>
      </c>
      <c r="F466">
        <v>7491</v>
      </c>
      <c r="G466">
        <v>4</v>
      </c>
      <c r="H466" t="s">
        <v>18</v>
      </c>
      <c r="I466">
        <v>6</v>
      </c>
      <c r="J466" t="s">
        <v>18</v>
      </c>
      <c r="K466">
        <f>IF($J466="Yes",1,0)</f>
        <v>0</v>
      </c>
    </row>
    <row r="467" spans="1:11">
      <c r="A467">
        <v>624</v>
      </c>
      <c r="B467">
        <v>46</v>
      </c>
      <c r="C467" t="s">
        <v>11</v>
      </c>
      <c r="D467" t="s">
        <v>16</v>
      </c>
      <c r="E467" t="s">
        <v>21</v>
      </c>
      <c r="F467">
        <v>10527</v>
      </c>
      <c r="G467">
        <v>3</v>
      </c>
      <c r="H467" t="s">
        <v>18</v>
      </c>
      <c r="I467">
        <v>2</v>
      </c>
      <c r="J467" t="s">
        <v>18</v>
      </c>
      <c r="K467">
        <f>IF($J467="Yes",1,0)</f>
        <v>0</v>
      </c>
    </row>
    <row r="468" spans="1:11">
      <c r="A468">
        <v>625</v>
      </c>
      <c r="B468">
        <v>41</v>
      </c>
      <c r="C468" t="s">
        <v>11</v>
      </c>
      <c r="D468" t="s">
        <v>12</v>
      </c>
      <c r="E468" t="s">
        <v>22</v>
      </c>
      <c r="F468">
        <v>16595</v>
      </c>
      <c r="G468">
        <v>1</v>
      </c>
      <c r="H468" t="s">
        <v>18</v>
      </c>
      <c r="I468">
        <v>18</v>
      </c>
      <c r="J468" t="s">
        <v>18</v>
      </c>
      <c r="K468">
        <f>IF($J468="Yes",1,0)</f>
        <v>0</v>
      </c>
    </row>
    <row r="469" spans="1:11">
      <c r="A469">
        <v>626</v>
      </c>
      <c r="B469">
        <v>37</v>
      </c>
      <c r="C469" t="s">
        <v>15</v>
      </c>
      <c r="D469" t="s">
        <v>12</v>
      </c>
      <c r="E469" t="s">
        <v>13</v>
      </c>
      <c r="F469">
        <v>8834</v>
      </c>
      <c r="G469">
        <v>2</v>
      </c>
      <c r="H469" t="s">
        <v>18</v>
      </c>
      <c r="I469">
        <v>9</v>
      </c>
      <c r="J469" t="s">
        <v>18</v>
      </c>
      <c r="K469">
        <f>IF($J469="Yes",1,0)</f>
        <v>0</v>
      </c>
    </row>
    <row r="470" spans="1:11">
      <c r="A470">
        <v>630</v>
      </c>
      <c r="B470">
        <v>52</v>
      </c>
      <c r="C470" t="s">
        <v>15</v>
      </c>
      <c r="D470" t="s">
        <v>16</v>
      </c>
      <c r="E470" t="s">
        <v>17</v>
      </c>
      <c r="F470">
        <v>5577</v>
      </c>
      <c r="G470">
        <v>1</v>
      </c>
      <c r="H470" t="s">
        <v>14</v>
      </c>
      <c r="I470">
        <v>10</v>
      </c>
      <c r="J470" t="s">
        <v>18</v>
      </c>
      <c r="K470">
        <f>IF($J470="Yes",1,0)</f>
        <v>0</v>
      </c>
    </row>
    <row r="471" spans="1:11">
      <c r="A471">
        <v>631</v>
      </c>
      <c r="B471">
        <v>32</v>
      </c>
      <c r="C471" t="s">
        <v>15</v>
      </c>
      <c r="D471" t="s">
        <v>12</v>
      </c>
      <c r="E471" t="s">
        <v>13</v>
      </c>
      <c r="F471">
        <v>4707</v>
      </c>
      <c r="G471">
        <v>3</v>
      </c>
      <c r="H471" t="s">
        <v>18</v>
      </c>
      <c r="I471">
        <v>4</v>
      </c>
      <c r="J471" t="s">
        <v>14</v>
      </c>
      <c r="K471">
        <f>IF($J471="Yes",1,0)</f>
        <v>1</v>
      </c>
    </row>
    <row r="472" spans="1:11">
      <c r="A472">
        <v>632</v>
      </c>
      <c r="B472">
        <v>24</v>
      </c>
      <c r="C472" t="s">
        <v>15</v>
      </c>
      <c r="D472" t="s">
        <v>12</v>
      </c>
      <c r="E472" t="s">
        <v>23</v>
      </c>
      <c r="F472">
        <v>2400</v>
      </c>
      <c r="G472">
        <v>4</v>
      </c>
      <c r="H472" t="s">
        <v>18</v>
      </c>
      <c r="I472">
        <v>2</v>
      </c>
      <c r="J472" t="s">
        <v>18</v>
      </c>
      <c r="K472">
        <f>IF($J472="Yes",1,0)</f>
        <v>0</v>
      </c>
    </row>
    <row r="473" spans="1:11">
      <c r="A473">
        <v>634</v>
      </c>
      <c r="B473">
        <v>38</v>
      </c>
      <c r="C473" t="s">
        <v>11</v>
      </c>
      <c r="D473" t="s">
        <v>16</v>
      </c>
      <c r="E473" t="s">
        <v>21</v>
      </c>
      <c r="F473">
        <v>9824</v>
      </c>
      <c r="G473">
        <v>3</v>
      </c>
      <c r="H473" t="s">
        <v>18</v>
      </c>
      <c r="I473">
        <v>1</v>
      </c>
      <c r="J473" t="s">
        <v>18</v>
      </c>
      <c r="K473">
        <f>IF($J473="Yes",1,0)</f>
        <v>0</v>
      </c>
    </row>
    <row r="474" spans="1:11">
      <c r="A474">
        <v>635</v>
      </c>
      <c r="B474">
        <v>37</v>
      </c>
      <c r="C474" t="s">
        <v>11</v>
      </c>
      <c r="D474" t="s">
        <v>16</v>
      </c>
      <c r="E474" t="s">
        <v>20</v>
      </c>
      <c r="F474">
        <v>6447</v>
      </c>
      <c r="G474">
        <v>2</v>
      </c>
      <c r="H474" t="s">
        <v>18</v>
      </c>
      <c r="I474">
        <v>6</v>
      </c>
      <c r="J474" t="s">
        <v>18</v>
      </c>
      <c r="K474">
        <f>IF($J474="Yes",1,0)</f>
        <v>0</v>
      </c>
    </row>
    <row r="475" spans="1:11">
      <c r="A475">
        <v>638</v>
      </c>
      <c r="B475">
        <v>49</v>
      </c>
      <c r="C475" t="s">
        <v>15</v>
      </c>
      <c r="D475" t="s">
        <v>16</v>
      </c>
      <c r="E475" t="s">
        <v>24</v>
      </c>
      <c r="F475">
        <v>19502</v>
      </c>
      <c r="G475">
        <v>3</v>
      </c>
      <c r="H475" t="s">
        <v>14</v>
      </c>
      <c r="I475">
        <v>31</v>
      </c>
      <c r="J475" t="s">
        <v>18</v>
      </c>
      <c r="K475">
        <f>IF($J475="Yes",1,0)</f>
        <v>0</v>
      </c>
    </row>
    <row r="476" spans="1:11">
      <c r="A476">
        <v>639</v>
      </c>
      <c r="B476">
        <v>24</v>
      </c>
      <c r="C476" t="s">
        <v>15</v>
      </c>
      <c r="D476" t="s">
        <v>16</v>
      </c>
      <c r="E476" t="s">
        <v>17</v>
      </c>
      <c r="F476">
        <v>2725</v>
      </c>
      <c r="G476">
        <v>4</v>
      </c>
      <c r="H476" t="s">
        <v>14</v>
      </c>
      <c r="I476">
        <v>6</v>
      </c>
      <c r="J476" t="s">
        <v>18</v>
      </c>
      <c r="K476">
        <f>IF($J476="Yes",1,0)</f>
        <v>0</v>
      </c>
    </row>
    <row r="477" spans="1:11">
      <c r="A477">
        <v>641</v>
      </c>
      <c r="B477">
        <v>26</v>
      </c>
      <c r="C477" t="s">
        <v>15</v>
      </c>
      <c r="D477" t="s">
        <v>12</v>
      </c>
      <c r="E477" t="s">
        <v>13</v>
      </c>
      <c r="F477">
        <v>6272</v>
      </c>
      <c r="G477">
        <v>2</v>
      </c>
      <c r="H477" t="s">
        <v>18</v>
      </c>
      <c r="I477">
        <v>5</v>
      </c>
      <c r="J477" t="s">
        <v>18</v>
      </c>
      <c r="K477">
        <f>IF($J477="Yes",1,0)</f>
        <v>0</v>
      </c>
    </row>
    <row r="478" spans="1:11">
      <c r="A478">
        <v>643</v>
      </c>
      <c r="B478">
        <v>24</v>
      </c>
      <c r="C478" t="s">
        <v>15</v>
      </c>
      <c r="D478" t="s">
        <v>16</v>
      </c>
      <c r="E478" t="s">
        <v>19</v>
      </c>
      <c r="F478">
        <v>2127</v>
      </c>
      <c r="G478">
        <v>2</v>
      </c>
      <c r="H478" t="s">
        <v>18</v>
      </c>
      <c r="I478">
        <v>1</v>
      </c>
      <c r="J478" t="s">
        <v>18</v>
      </c>
      <c r="K478">
        <f>IF($J478="Yes",1,0)</f>
        <v>0</v>
      </c>
    </row>
    <row r="479" spans="1:11">
      <c r="A479">
        <v>644</v>
      </c>
      <c r="B479">
        <v>50</v>
      </c>
      <c r="C479" t="s">
        <v>15</v>
      </c>
      <c r="D479" t="s">
        <v>25</v>
      </c>
      <c r="E479" t="s">
        <v>22</v>
      </c>
      <c r="F479">
        <v>18200</v>
      </c>
      <c r="G479">
        <v>2</v>
      </c>
      <c r="H479" t="s">
        <v>18</v>
      </c>
      <c r="I479">
        <v>32</v>
      </c>
      <c r="J479" t="s">
        <v>18</v>
      </c>
      <c r="K479">
        <f>IF($J479="Yes",1,0)</f>
        <v>0</v>
      </c>
    </row>
    <row r="480" spans="1:11">
      <c r="A480">
        <v>645</v>
      </c>
      <c r="B480">
        <v>25</v>
      </c>
      <c r="C480" t="s">
        <v>15</v>
      </c>
      <c r="D480" t="s">
        <v>12</v>
      </c>
      <c r="E480" t="s">
        <v>23</v>
      </c>
      <c r="F480">
        <v>2096</v>
      </c>
      <c r="G480">
        <v>3</v>
      </c>
      <c r="H480" t="s">
        <v>18</v>
      </c>
      <c r="I480">
        <v>7</v>
      </c>
      <c r="J480" t="s">
        <v>18</v>
      </c>
      <c r="K480">
        <f>IF($J480="Yes",1,0)</f>
        <v>0</v>
      </c>
    </row>
    <row r="481" spans="1:11">
      <c r="A481">
        <v>647</v>
      </c>
      <c r="B481">
        <v>24</v>
      </c>
      <c r="C481" t="s">
        <v>11</v>
      </c>
      <c r="D481" t="s">
        <v>16</v>
      </c>
      <c r="E481" t="s">
        <v>19</v>
      </c>
      <c r="F481">
        <v>2886</v>
      </c>
      <c r="G481">
        <v>3</v>
      </c>
      <c r="H481" t="s">
        <v>14</v>
      </c>
      <c r="I481">
        <v>6</v>
      </c>
      <c r="J481" t="s">
        <v>14</v>
      </c>
      <c r="K481">
        <f>IF($J481="Yes",1,0)</f>
        <v>1</v>
      </c>
    </row>
    <row r="482" spans="1:11">
      <c r="A482">
        <v>648</v>
      </c>
      <c r="B482">
        <v>30</v>
      </c>
      <c r="C482" t="s">
        <v>15</v>
      </c>
      <c r="D482" t="s">
        <v>12</v>
      </c>
      <c r="E482" t="s">
        <v>23</v>
      </c>
      <c r="F482">
        <v>2033</v>
      </c>
      <c r="G482">
        <v>1</v>
      </c>
      <c r="H482" t="s">
        <v>18</v>
      </c>
      <c r="I482">
        <v>1</v>
      </c>
      <c r="J482" t="s">
        <v>14</v>
      </c>
      <c r="K482">
        <f>IF($J482="Yes",1,0)</f>
        <v>1</v>
      </c>
    </row>
    <row r="483" spans="1:11">
      <c r="A483">
        <v>649</v>
      </c>
      <c r="B483">
        <v>34</v>
      </c>
      <c r="C483" t="s">
        <v>15</v>
      </c>
      <c r="D483" t="s">
        <v>16</v>
      </c>
      <c r="E483" t="s">
        <v>17</v>
      </c>
      <c r="F483">
        <v>3622</v>
      </c>
      <c r="G483">
        <v>4</v>
      </c>
      <c r="H483" t="s">
        <v>14</v>
      </c>
      <c r="I483">
        <v>6</v>
      </c>
      <c r="J483" t="s">
        <v>18</v>
      </c>
      <c r="K483">
        <f>IF($J483="Yes",1,0)</f>
        <v>0</v>
      </c>
    </row>
    <row r="484" spans="1:11">
      <c r="A484">
        <v>650</v>
      </c>
      <c r="B484">
        <v>31</v>
      </c>
      <c r="C484" t="s">
        <v>15</v>
      </c>
      <c r="D484" t="s">
        <v>12</v>
      </c>
      <c r="E484" t="s">
        <v>13</v>
      </c>
      <c r="F484">
        <v>4233</v>
      </c>
      <c r="G484">
        <v>1</v>
      </c>
      <c r="H484" t="s">
        <v>18</v>
      </c>
      <c r="I484">
        <v>3</v>
      </c>
      <c r="J484" t="s">
        <v>14</v>
      </c>
      <c r="K484">
        <f>IF($J484="Yes",1,0)</f>
        <v>1</v>
      </c>
    </row>
    <row r="485" spans="1:11">
      <c r="A485">
        <v>652</v>
      </c>
      <c r="B485">
        <v>35</v>
      </c>
      <c r="C485" t="s">
        <v>15</v>
      </c>
      <c r="D485" t="s">
        <v>16</v>
      </c>
      <c r="E485" t="s">
        <v>19</v>
      </c>
      <c r="F485">
        <v>3681</v>
      </c>
      <c r="G485">
        <v>4</v>
      </c>
      <c r="H485" t="s">
        <v>18</v>
      </c>
      <c r="I485">
        <v>3</v>
      </c>
      <c r="J485" t="s">
        <v>18</v>
      </c>
      <c r="K485">
        <f>IF($J485="Yes",1,0)</f>
        <v>0</v>
      </c>
    </row>
    <row r="486" spans="1:11">
      <c r="A486">
        <v>653</v>
      </c>
      <c r="B486">
        <v>31</v>
      </c>
      <c r="C486" t="s">
        <v>15</v>
      </c>
      <c r="D486" t="s">
        <v>12</v>
      </c>
      <c r="E486" t="s">
        <v>13</v>
      </c>
      <c r="F486">
        <v>5460</v>
      </c>
      <c r="G486">
        <v>4</v>
      </c>
      <c r="H486" t="s">
        <v>18</v>
      </c>
      <c r="I486">
        <v>7</v>
      </c>
      <c r="J486" t="s">
        <v>18</v>
      </c>
      <c r="K486">
        <f>IF($J486="Yes",1,0)</f>
        <v>0</v>
      </c>
    </row>
    <row r="487" spans="1:11">
      <c r="A487">
        <v>655</v>
      </c>
      <c r="B487">
        <v>27</v>
      </c>
      <c r="C487" t="s">
        <v>11</v>
      </c>
      <c r="D487" t="s">
        <v>16</v>
      </c>
      <c r="E487" t="s">
        <v>17</v>
      </c>
      <c r="F487">
        <v>2187</v>
      </c>
      <c r="G487">
        <v>3</v>
      </c>
      <c r="H487" t="s">
        <v>18</v>
      </c>
      <c r="I487">
        <v>5</v>
      </c>
      <c r="J487" t="s">
        <v>18</v>
      </c>
      <c r="K487">
        <f>IF($J487="Yes",1,0)</f>
        <v>0</v>
      </c>
    </row>
    <row r="488" spans="1:11">
      <c r="A488">
        <v>656</v>
      </c>
      <c r="B488">
        <v>37</v>
      </c>
      <c r="C488" t="s">
        <v>15</v>
      </c>
      <c r="D488" t="s">
        <v>12</v>
      </c>
      <c r="E488" t="s">
        <v>13</v>
      </c>
      <c r="F488">
        <v>9602</v>
      </c>
      <c r="G488">
        <v>3</v>
      </c>
      <c r="H488" t="s">
        <v>14</v>
      </c>
      <c r="I488">
        <v>3</v>
      </c>
      <c r="J488" t="s">
        <v>18</v>
      </c>
      <c r="K488">
        <f>IF($J488="Yes",1,0)</f>
        <v>0</v>
      </c>
    </row>
    <row r="489" spans="1:11">
      <c r="A489">
        <v>657</v>
      </c>
      <c r="B489">
        <v>20</v>
      </c>
      <c r="C489" t="s">
        <v>11</v>
      </c>
      <c r="D489" t="s">
        <v>16</v>
      </c>
      <c r="E489" t="s">
        <v>17</v>
      </c>
      <c r="F489">
        <v>2836</v>
      </c>
      <c r="G489">
        <v>2</v>
      </c>
      <c r="H489" t="s">
        <v>18</v>
      </c>
      <c r="I489">
        <v>1</v>
      </c>
      <c r="J489" t="s">
        <v>18</v>
      </c>
      <c r="K489">
        <f>IF($J489="Yes",1,0)</f>
        <v>0</v>
      </c>
    </row>
    <row r="490" spans="1:11">
      <c r="A490">
        <v>659</v>
      </c>
      <c r="B490">
        <v>42</v>
      </c>
      <c r="C490" t="s">
        <v>11</v>
      </c>
      <c r="D490" t="s">
        <v>16</v>
      </c>
      <c r="E490" t="s">
        <v>21</v>
      </c>
      <c r="F490">
        <v>4089</v>
      </c>
      <c r="G490">
        <v>4</v>
      </c>
      <c r="H490" t="s">
        <v>18</v>
      </c>
      <c r="I490">
        <v>10</v>
      </c>
      <c r="J490" t="s">
        <v>18</v>
      </c>
      <c r="K490">
        <f>IF($J490="Yes",1,0)</f>
        <v>0</v>
      </c>
    </row>
    <row r="491" spans="1:11">
      <c r="A491">
        <v>661</v>
      </c>
      <c r="B491">
        <v>43</v>
      </c>
      <c r="C491" t="s">
        <v>15</v>
      </c>
      <c r="D491" t="s">
        <v>16</v>
      </c>
      <c r="E491" t="s">
        <v>24</v>
      </c>
      <c r="F491">
        <v>16627</v>
      </c>
      <c r="G491">
        <v>4</v>
      </c>
      <c r="H491" t="s">
        <v>14</v>
      </c>
      <c r="I491">
        <v>1</v>
      </c>
      <c r="J491" t="s">
        <v>18</v>
      </c>
      <c r="K491">
        <f>IF($J491="Yes",1,0)</f>
        <v>0</v>
      </c>
    </row>
    <row r="492" spans="1:11">
      <c r="A492">
        <v>662</v>
      </c>
      <c r="B492">
        <v>38</v>
      </c>
      <c r="C492" t="s">
        <v>11</v>
      </c>
      <c r="D492" t="s">
        <v>16</v>
      </c>
      <c r="E492" t="s">
        <v>17</v>
      </c>
      <c r="F492">
        <v>2619</v>
      </c>
      <c r="G492">
        <v>1</v>
      </c>
      <c r="H492" t="s">
        <v>18</v>
      </c>
      <c r="I492">
        <v>0</v>
      </c>
      <c r="J492" t="s">
        <v>18</v>
      </c>
      <c r="K492">
        <f>IF($J492="Yes",1,0)</f>
        <v>0</v>
      </c>
    </row>
    <row r="493" spans="1:11">
      <c r="A493">
        <v>663</v>
      </c>
      <c r="B493">
        <v>43</v>
      </c>
      <c r="C493" t="s">
        <v>15</v>
      </c>
      <c r="D493" t="s">
        <v>16</v>
      </c>
      <c r="E493" t="s">
        <v>19</v>
      </c>
      <c r="F493">
        <v>5679</v>
      </c>
      <c r="G493">
        <v>3</v>
      </c>
      <c r="H493" t="s">
        <v>14</v>
      </c>
      <c r="I493">
        <v>8</v>
      </c>
      <c r="J493" t="s">
        <v>18</v>
      </c>
      <c r="K493">
        <f>IF($J493="Yes",1,0)</f>
        <v>0</v>
      </c>
    </row>
    <row r="494" spans="1:11">
      <c r="A494">
        <v>664</v>
      </c>
      <c r="B494">
        <v>48</v>
      </c>
      <c r="C494" t="s">
        <v>11</v>
      </c>
      <c r="D494" t="s">
        <v>16</v>
      </c>
      <c r="E494" t="s">
        <v>22</v>
      </c>
      <c r="F494">
        <v>15402</v>
      </c>
      <c r="G494">
        <v>1</v>
      </c>
      <c r="H494" t="s">
        <v>18</v>
      </c>
      <c r="I494">
        <v>3</v>
      </c>
      <c r="J494" t="s">
        <v>18</v>
      </c>
      <c r="K494">
        <f>IF($J494="Yes",1,0)</f>
        <v>0</v>
      </c>
    </row>
    <row r="495" spans="1:11">
      <c r="A495">
        <v>665</v>
      </c>
      <c r="B495">
        <v>44</v>
      </c>
      <c r="C495" t="s">
        <v>11</v>
      </c>
      <c r="D495" t="s">
        <v>25</v>
      </c>
      <c r="E495" t="s">
        <v>25</v>
      </c>
      <c r="F495">
        <v>5985</v>
      </c>
      <c r="G495">
        <v>3</v>
      </c>
      <c r="H495" t="s">
        <v>18</v>
      </c>
      <c r="I495">
        <v>2</v>
      </c>
      <c r="J495" t="s">
        <v>18</v>
      </c>
      <c r="K495">
        <f>IF($J495="Yes",1,0)</f>
        <v>0</v>
      </c>
    </row>
    <row r="496" spans="1:11">
      <c r="A496">
        <v>666</v>
      </c>
      <c r="B496">
        <v>34</v>
      </c>
      <c r="C496" t="s">
        <v>11</v>
      </c>
      <c r="D496" t="s">
        <v>12</v>
      </c>
      <c r="E496" t="s">
        <v>23</v>
      </c>
      <c r="F496">
        <v>2579</v>
      </c>
      <c r="G496">
        <v>3</v>
      </c>
      <c r="H496" t="s">
        <v>14</v>
      </c>
      <c r="I496">
        <v>8</v>
      </c>
      <c r="J496" t="s">
        <v>18</v>
      </c>
      <c r="K496">
        <f>IF($J496="Yes",1,0)</f>
        <v>0</v>
      </c>
    </row>
    <row r="497" spans="1:11">
      <c r="A497">
        <v>667</v>
      </c>
      <c r="B497">
        <v>27</v>
      </c>
      <c r="C497" t="s">
        <v>15</v>
      </c>
      <c r="D497" t="s">
        <v>12</v>
      </c>
      <c r="E497" t="s">
        <v>23</v>
      </c>
      <c r="F497">
        <v>3041</v>
      </c>
      <c r="G497">
        <v>1</v>
      </c>
      <c r="H497" t="s">
        <v>18</v>
      </c>
      <c r="I497">
        <v>4</v>
      </c>
      <c r="J497" t="s">
        <v>14</v>
      </c>
      <c r="K497">
        <f>IF($J497="Yes",1,0)</f>
        <v>1</v>
      </c>
    </row>
    <row r="498" spans="1:11">
      <c r="A498">
        <v>669</v>
      </c>
      <c r="B498">
        <v>21</v>
      </c>
      <c r="C498" t="s">
        <v>15</v>
      </c>
      <c r="D498" t="s">
        <v>12</v>
      </c>
      <c r="E498" t="s">
        <v>23</v>
      </c>
      <c r="F498">
        <v>3447</v>
      </c>
      <c r="G498">
        <v>3</v>
      </c>
      <c r="H498" t="s">
        <v>18</v>
      </c>
      <c r="I498">
        <v>3</v>
      </c>
      <c r="J498" t="s">
        <v>18</v>
      </c>
      <c r="K498">
        <f>IF($J498="Yes",1,0)</f>
        <v>0</v>
      </c>
    </row>
    <row r="499" spans="1:11">
      <c r="A499">
        <v>671</v>
      </c>
      <c r="B499">
        <v>44</v>
      </c>
      <c r="C499" t="s">
        <v>15</v>
      </c>
      <c r="D499" t="s">
        <v>16</v>
      </c>
      <c r="E499" t="s">
        <v>22</v>
      </c>
      <c r="F499">
        <v>19513</v>
      </c>
      <c r="G499">
        <v>4</v>
      </c>
      <c r="H499" t="s">
        <v>14</v>
      </c>
      <c r="I499">
        <v>2</v>
      </c>
      <c r="J499" t="s">
        <v>18</v>
      </c>
      <c r="K499">
        <f>IF($J499="Yes",1,0)</f>
        <v>0</v>
      </c>
    </row>
    <row r="500" spans="1:11">
      <c r="A500">
        <v>675</v>
      </c>
      <c r="B500">
        <v>22</v>
      </c>
      <c r="C500" t="s">
        <v>15</v>
      </c>
      <c r="D500" t="s">
        <v>16</v>
      </c>
      <c r="E500" t="s">
        <v>17</v>
      </c>
      <c r="F500">
        <v>2773</v>
      </c>
      <c r="G500">
        <v>3</v>
      </c>
      <c r="H500" t="s">
        <v>14</v>
      </c>
      <c r="I500">
        <v>2</v>
      </c>
      <c r="J500" t="s">
        <v>18</v>
      </c>
      <c r="K500">
        <f>IF($J500="Yes",1,0)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925A-7378-4D01-AAB3-69CD3DB5003B}">
  <dimension ref="A1:E22"/>
  <sheetViews>
    <sheetView workbookViewId="0">
      <selection activeCell="D1" sqref="D1:E4"/>
    </sheetView>
  </sheetViews>
  <sheetFormatPr defaultRowHeight="15"/>
  <cols>
    <col min="1" max="1" width="24.7109375" customWidth="1"/>
    <col min="2" max="2" width="26" bestFit="1" customWidth="1"/>
    <col min="3" max="3" width="9.5703125" customWidth="1"/>
    <col min="4" max="4" width="11.7109375" bestFit="1" customWidth="1"/>
    <col min="5" max="5" width="24.42578125" bestFit="1" customWidth="1"/>
  </cols>
  <sheetData>
    <row r="1" spans="1:5">
      <c r="A1" s="18" t="s">
        <v>3</v>
      </c>
      <c r="B1" t="s">
        <v>26</v>
      </c>
      <c r="D1" s="16" t="s">
        <v>2</v>
      </c>
      <c r="E1" t="s">
        <v>27</v>
      </c>
    </row>
    <row r="2" spans="1:5">
      <c r="A2" t="s">
        <v>25</v>
      </c>
      <c r="B2" s="19">
        <v>0.2857142857142857</v>
      </c>
      <c r="D2" t="s">
        <v>11</v>
      </c>
      <c r="E2" s="17">
        <v>68004</v>
      </c>
    </row>
    <row r="3" spans="1:5">
      <c r="A3" t="s">
        <v>16</v>
      </c>
      <c r="B3" s="19">
        <v>0.13513513513513514</v>
      </c>
      <c r="D3" t="s">
        <v>15</v>
      </c>
      <c r="E3" s="17">
        <v>99771</v>
      </c>
    </row>
    <row r="4" spans="1:5">
      <c r="A4" t="s">
        <v>12</v>
      </c>
      <c r="B4" s="19">
        <v>0.19078947368421054</v>
      </c>
      <c r="D4" t="s">
        <v>28</v>
      </c>
      <c r="E4" s="17">
        <v>167775</v>
      </c>
    </row>
    <row r="5" spans="1:5">
      <c r="A5" t="s">
        <v>28</v>
      </c>
      <c r="B5" s="19">
        <v>0.15631262525050099</v>
      </c>
    </row>
    <row r="7" spans="1:5">
      <c r="A7" s="16" t="s">
        <v>7</v>
      </c>
      <c r="B7" t="s">
        <v>26</v>
      </c>
    </row>
    <row r="8" spans="1:5">
      <c r="A8" t="s">
        <v>18</v>
      </c>
      <c r="B8" s="19">
        <v>9.8870056497175146E-2</v>
      </c>
    </row>
    <row r="9" spans="1:5">
      <c r="A9" t="s">
        <v>14</v>
      </c>
      <c r="B9" s="19">
        <v>0.29655172413793102</v>
      </c>
    </row>
    <row r="10" spans="1:5">
      <c r="A10" t="s">
        <v>28</v>
      </c>
      <c r="B10" s="19">
        <v>0.15631262525050099</v>
      </c>
    </row>
    <row r="12" spans="1:5">
      <c r="A12" s="16" t="s">
        <v>4</v>
      </c>
      <c r="B12" t="s">
        <v>29</v>
      </c>
    </row>
    <row r="13" spans="1:5">
      <c r="A13" t="s">
        <v>21</v>
      </c>
      <c r="B13" s="17">
        <v>8150.2250000000004</v>
      </c>
    </row>
    <row r="14" spans="1:5">
      <c r="A14" t="s">
        <v>25</v>
      </c>
      <c r="B14" s="17">
        <v>4454.181818181818</v>
      </c>
    </row>
    <row r="15" spans="1:5">
      <c r="A15" t="s">
        <v>19</v>
      </c>
      <c r="B15" s="17">
        <v>3126.0322580645161</v>
      </c>
    </row>
    <row r="16" spans="1:5">
      <c r="A16" t="s">
        <v>22</v>
      </c>
      <c r="B16" s="17">
        <v>16713.904761904763</v>
      </c>
    </row>
    <row r="17" spans="1:2">
      <c r="A17" t="s">
        <v>20</v>
      </c>
      <c r="B17" s="17">
        <v>6576.458333333333</v>
      </c>
    </row>
    <row r="18" spans="1:2">
      <c r="A18" t="s">
        <v>24</v>
      </c>
      <c r="B18" s="17">
        <v>15900.758620689656</v>
      </c>
    </row>
    <row r="19" spans="1:2">
      <c r="A19" t="s">
        <v>17</v>
      </c>
      <c r="B19" s="17">
        <v>3345.1616161616162</v>
      </c>
    </row>
    <row r="20" spans="1:2">
      <c r="A20" t="s">
        <v>13</v>
      </c>
      <c r="B20" s="17">
        <v>6914.2990654205605</v>
      </c>
    </row>
    <row r="21" spans="1:2">
      <c r="A21" t="s">
        <v>23</v>
      </c>
      <c r="B21" s="17">
        <v>2557.1666666666665</v>
      </c>
    </row>
    <row r="22" spans="1:2">
      <c r="A22" t="s">
        <v>28</v>
      </c>
      <c r="B22" s="17">
        <v>6597.6312625250503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D736-F0D3-440D-9FE5-BD415F6D561A}">
  <dimension ref="A2:R5"/>
  <sheetViews>
    <sheetView tabSelected="1" workbookViewId="0">
      <selection activeCell="Q3" sqref="Q3:R3"/>
    </sheetView>
  </sheetViews>
  <sheetFormatPr defaultRowHeight="15"/>
  <cols>
    <col min="1" max="1" width="9.42578125" customWidth="1"/>
    <col min="2" max="2" width="14.28515625" bestFit="1" customWidth="1"/>
  </cols>
  <sheetData>
    <row r="2" spans="1:18">
      <c r="B2" s="1" t="s">
        <v>30</v>
      </c>
      <c r="C2" s="2"/>
      <c r="E2" s="5" t="s">
        <v>31</v>
      </c>
      <c r="F2" s="6"/>
      <c r="H2" s="7" t="s">
        <v>32</v>
      </c>
      <c r="I2" s="8"/>
      <c r="K2" s="9" t="s">
        <v>33</v>
      </c>
      <c r="L2" s="10"/>
      <c r="N2" s="11" t="s">
        <v>34</v>
      </c>
      <c r="O2" s="12"/>
      <c r="Q2" s="13" t="s">
        <v>35</v>
      </c>
      <c r="R2" s="14"/>
    </row>
    <row r="3" spans="1:18">
      <c r="B3" s="3">
        <f>COUNTA(Employee_data!A1:A500)</f>
        <v>500</v>
      </c>
      <c r="C3" s="4"/>
      <c r="E3" s="24">
        <f>AVERAGE(Employee_data!K1:K500)</f>
        <v>0.15631262525050099</v>
      </c>
      <c r="F3" s="25"/>
      <c r="H3" s="22">
        <f>AVERAGE(Employee_data!F1:F500)</f>
        <v>6597.6312625250503</v>
      </c>
      <c r="I3" s="23"/>
      <c r="K3" s="26">
        <f>MAX(Employee_data!F1:F500)</f>
        <v>19999</v>
      </c>
      <c r="L3" s="27"/>
      <c r="N3" s="28">
        <f>MIN(Employee_data!F1:F500)</f>
        <v>1102</v>
      </c>
      <c r="O3" s="29"/>
      <c r="Q3" s="30">
        <f>AVERAGE(Employee_data!G1:G500)</f>
        <v>2.8036072144288577</v>
      </c>
      <c r="R3" s="31"/>
    </row>
    <row r="5" spans="1:18">
      <c r="A5" s="15" t="s">
        <v>36</v>
      </c>
      <c r="B5" s="15"/>
      <c r="C5" s="15"/>
      <c r="D5" s="15"/>
      <c r="E5" s="15"/>
      <c r="F5" s="15"/>
      <c r="G5" s="20" t="s">
        <v>37</v>
      </c>
      <c r="H5" s="20"/>
      <c r="I5" s="20"/>
      <c r="J5" s="20"/>
      <c r="K5" s="20"/>
      <c r="M5" s="20" t="s">
        <v>38</v>
      </c>
      <c r="N5" s="20"/>
      <c r="O5" s="20"/>
      <c r="P5" s="20"/>
      <c r="Q5" s="20"/>
      <c r="R5" s="21"/>
    </row>
  </sheetData>
  <mergeCells count="15">
    <mergeCell ref="A5:F5"/>
    <mergeCell ref="G5:K5"/>
    <mergeCell ref="M5:Q5"/>
    <mergeCell ref="N2:O2"/>
    <mergeCell ref="N3:O3"/>
    <mergeCell ref="Q2:R2"/>
    <mergeCell ref="Q3:R3"/>
    <mergeCell ref="B2:C2"/>
    <mergeCell ref="E2:F2"/>
    <mergeCell ref="H2:I2"/>
    <mergeCell ref="B3:C3"/>
    <mergeCell ref="E3:F3"/>
    <mergeCell ref="K2:L2"/>
    <mergeCell ref="H3:I3"/>
    <mergeCell ref="K3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2026-10-14T11:36:35Z</dcterms:created>
  <dcterms:modified xsi:type="dcterms:W3CDTF">2026-10-14T13:33:14Z</dcterms:modified>
  <cp:category/>
  <cp:contentStatus/>
</cp:coreProperties>
</file>